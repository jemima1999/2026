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0" documentId="11_972189A2FC0E5FEA9BF7F5A4BECDCAAAB582CDD7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Finances" sheetId="1" r:id="rId1"/>
    <sheet name="Routine" sheetId="2" r:id="rId2"/>
    <sheet name="Objectifs" sheetId="3" r:id="rId3"/>
    <sheet name="Journal spirituel" sheetId="4" r:id="rId4"/>
    <sheet name="Objectifs annuels" sheetId="5" r:id="rId5"/>
    <sheet name="Tableau de b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6" l="1"/>
  <c r="F12" i="6"/>
  <c r="F11" i="6"/>
  <c r="F10" i="6"/>
  <c r="F9" i="6"/>
  <c r="F8" i="6"/>
  <c r="F7" i="6"/>
  <c r="F6" i="6"/>
  <c r="F5" i="6"/>
  <c r="F4" i="6"/>
  <c r="F3" i="6"/>
  <c r="F2" i="6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<sst xmlns="http://schemas.openxmlformats.org/spreadsheetml/2006/main" count="42" uniqueCount="35">
  <si>
    <t>Date</t>
  </si>
  <si>
    <t>Type</t>
  </si>
  <si>
    <t>Catégorie</t>
  </si>
  <si>
    <t>Montant</t>
  </si>
  <si>
    <t>Solde</t>
  </si>
  <si>
    <t>Note</t>
  </si>
  <si>
    <t>Prière matin</t>
  </si>
  <si>
    <t>Méditation</t>
  </si>
  <si>
    <t>Préparation maison</t>
  </si>
  <si>
    <t>Prière soir</t>
  </si>
  <si>
    <t>Coucher</t>
  </si>
  <si>
    <t>Score</t>
  </si>
  <si>
    <t>Objectif</t>
  </si>
  <si>
    <t>Fait</t>
  </si>
  <si>
    <t>Statut</t>
  </si>
  <si>
    <t>Score (%)</t>
  </si>
  <si>
    <t>Entrée spirituelle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</si>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</sst>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Dépenses par catégorie</c:v>
          </c:tx>
          <c:cat>
            <c:numRef>
              <c:f>Finances!$C$2:$C$1000</c:f>
              <c:numCache>
                <c:formatCode>General</c:formatCode>
                <c:ptCount val="999"/>
              </c:numCache>
            </c:numRef>
          </c:cat>
          <c:val>
            <c:numRef>
              <c:f>Finances!$D$2:$D$1000</c:f>
              <c:numCache>
                <c:formatCode>General</c:formatCode>
                <c:ptCount val="999"/>
              </c:numCache>
            </c:numRef>
          </c:val>
          <c:extLst>
            <c:ext xmlns:c16="http://schemas.microsoft.com/office/drawing/2014/chart" uri="{C3380CC4-5D6E-409C-BE32-E72D297353CC}">
              <c16:uniqueId val="{00000000-3547-4620-8C37-38B6955A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Score global</c:v>
          </c:tx>
          <c:marker>
            <c:symbol val="none"/>
          </c:marker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Tableau de bord!$A$2:$A$13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Fév</c:v>
                      </c:pt>
                      <c:pt idx="2">
                        <c:v>Mar</c:v>
                      </c:pt>
                      <c:pt idx="3">
                        <c:v>Avr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</c:v>
                      </c:pt>
                      <c:pt idx="7">
                        <c:v>Août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Déc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A1B-4A17-B695-DF8220BAB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B8" sqref="B8"/>
    </sheetView>
  </sheetViews>
  <sheetFormatPr baseColWidth="10" defaultColWidth="8.7265625" defaultRowHeight="14.5" x14ac:dyDescent="0.35"/>
  <cols>
    <col min="1" max="1" width="15.7265625" customWidth="1"/>
    <col min="2" max="2" width="12.7265625" customWidth="1"/>
    <col min="3" max="3" width="20.7265625" customWidth="1"/>
    <col min="4" max="5" width="12.7265625" customWidth="1"/>
    <col min="6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E2">
        <f>SUMIF(B$2:B2,"Recette",D$2:D2)-SUMIF(B$2:B2,"Dépense",D$2:D2)</f>
        <v>0</v>
      </c>
    </row>
    <row r="3" spans="1:6" x14ac:dyDescent="0.35">
      <c r="E3">
        <f>SUMIF(B$2:B3,"Recette",D$2:D3)-SUMIF(B$2:B3,"Dépense",D$2:D3)</f>
        <v>0</v>
      </c>
    </row>
    <row r="4" spans="1:6" x14ac:dyDescent="0.35">
      <c r="E4">
        <f>SUMIF(B$2:B4,"Recette",D$2:D4)-SUMIF(B$2:B4,"Dépense",D$2:D4)</f>
        <v>0</v>
      </c>
    </row>
    <row r="5" spans="1:6" x14ac:dyDescent="0.35">
      <c r="E5">
        <f>SUMIF(B$2:B5,"Recette",D$2:D5)-SUMIF(B$2:B5,"Dépense",D$2:D5)</f>
        <v>0</v>
      </c>
    </row>
    <row r="6" spans="1:6" x14ac:dyDescent="0.35">
      <c r="E6">
        <f>SUMIF(B$2:B6,"Recette",D$2:D6)-SUMIF(B$2:B6,"Dépense",D$2:D6)</f>
        <v>0</v>
      </c>
    </row>
    <row r="7" spans="1:6" x14ac:dyDescent="0.35">
      <c r="E7">
        <f>SUMIF(B$2:B7,"Recette",D$2:D7)-SUMIF(B$2:B7,"Dépense",D$2:D7)</f>
        <v>0</v>
      </c>
    </row>
    <row r="8" spans="1:6" x14ac:dyDescent="0.35">
      <c r="E8">
        <f>SUMIF(B$2:B8,"Recette",D$2:D8)-SUMIF(B$2:B8,"Dépense",D$2:D8)</f>
        <v>0</v>
      </c>
    </row>
    <row r="9" spans="1:6" x14ac:dyDescent="0.35">
      <c r="E9">
        <f>SUMIF(B$2:B9,"Recette",D$2:D9)-SUMIF(B$2:B9,"Dépense",D$2:D9)</f>
        <v>0</v>
      </c>
    </row>
    <row r="10" spans="1:6" x14ac:dyDescent="0.35">
      <c r="E10">
        <f>SUMIF(B$2:B10,"Recette",D$2:D10)-SUMIF(B$2:B10,"Dépense",D$2:D10)</f>
        <v>0</v>
      </c>
    </row>
    <row r="11" spans="1:6" x14ac:dyDescent="0.35">
      <c r="E11">
        <f>SUMIF(B$2:B11,"Recette",D$2:D11)-SUMIF(B$2:B11,"Dépense",D$2:D11)</f>
        <v>0</v>
      </c>
    </row>
    <row r="12" spans="1:6" x14ac:dyDescent="0.35">
      <c r="E12">
        <f>SUMIF(B$2:B12,"Recette",D$2:D12)-SUMIF(B$2:B12,"Dépense",D$2:D12)</f>
        <v>0</v>
      </c>
    </row>
    <row r="13" spans="1:6" x14ac:dyDescent="0.35">
      <c r="E13">
        <f>SUMIF(B$2:B13,"Recette",D$2:D13)-SUMIF(B$2:B13,"Dépense",D$2:D13)</f>
        <v>0</v>
      </c>
    </row>
    <row r="14" spans="1:6" x14ac:dyDescent="0.35">
      <c r="E14">
        <f>SUMIF(B$2:B14,"Recette",D$2:D14)-SUMIF(B$2:B14,"Dépense",D$2:D14)</f>
        <v>0</v>
      </c>
    </row>
    <row r="15" spans="1:6" x14ac:dyDescent="0.35">
      <c r="E15">
        <f>SUMIF(B$2:B15,"Recette",D$2:D15)-SUMIF(B$2:B15,"Dépense",D$2:D15)</f>
        <v>0</v>
      </c>
    </row>
    <row r="16" spans="1:6" x14ac:dyDescent="0.35">
      <c r="E16">
        <f>SUMIF(B$2:B16,"Recette",D$2:D16)-SUMIF(B$2:B16,"Dépense",D$2:D16)</f>
        <v>0</v>
      </c>
    </row>
    <row r="17" spans="5:5" x14ac:dyDescent="0.35">
      <c r="E17">
        <f>SUMIF(B$2:B17,"Recette",D$2:D17)-SUMIF(B$2:B17,"Dépense",D$2:D17)</f>
        <v>0</v>
      </c>
    </row>
    <row r="18" spans="5:5" x14ac:dyDescent="0.35">
      <c r="E18">
        <f>SUMIF(B$2:B18,"Recette",D$2:D18)-SUMIF(B$2:B18,"Dépense",D$2:D18)</f>
        <v>0</v>
      </c>
    </row>
    <row r="19" spans="5:5" x14ac:dyDescent="0.35">
      <c r="E19">
        <f>SUMIF(B$2:B19,"Recette",D$2:D19)-SUMIF(B$2:B19,"Dépense",D$2:D19)</f>
        <v>0</v>
      </c>
    </row>
    <row r="20" spans="5:5" x14ac:dyDescent="0.35">
      <c r="E20">
        <f>SUMIF(B$2:B20,"Recette",D$2:D20)-SUMIF(B$2:B20,"Dépense",D$2:D20)</f>
        <v>0</v>
      </c>
    </row>
    <row r="21" spans="5:5" x14ac:dyDescent="0.35">
      <c r="E21">
        <f>SUMIF(B$2:B21,"Recette",D$2:D21)-SUMIF(B$2:B21,"Dépense",D$2:D21)</f>
        <v>0</v>
      </c>
    </row>
    <row r="22" spans="5:5" x14ac:dyDescent="0.35">
      <c r="E22">
        <f>SUMIF(B$2:B22,"Recette",D$2:D22)-SUMIF(B$2:B22,"Dépense",D$2:D22)</f>
        <v>0</v>
      </c>
    </row>
    <row r="23" spans="5:5" x14ac:dyDescent="0.35">
      <c r="E23">
        <f>SUMIF(B$2:B23,"Recette",D$2:D23)-SUMIF(B$2:B23,"Dépense",D$2:D23)</f>
        <v>0</v>
      </c>
    </row>
    <row r="24" spans="5:5" x14ac:dyDescent="0.35">
      <c r="E24">
        <f>SUMIF(B$2:B24,"Recette",D$2:D24)-SUMIF(B$2:B24,"Dépense",D$2:D24)</f>
        <v>0</v>
      </c>
    </row>
    <row r="25" spans="5:5" x14ac:dyDescent="0.35">
      <c r="E25">
        <f>SUMIF(B$2:B25,"Recette",D$2:D25)-SUMIF(B$2:B25,"Dépense",D$2:D25)</f>
        <v>0</v>
      </c>
    </row>
    <row r="26" spans="5:5" x14ac:dyDescent="0.35">
      <c r="E26">
        <f>SUMIF(B$2:B26,"Recette",D$2:D26)-SUMIF(B$2:B26,"Dépense",D$2:D26)</f>
        <v>0</v>
      </c>
    </row>
    <row r="27" spans="5:5" x14ac:dyDescent="0.35">
      <c r="E27">
        <f>SUMIF(B$2:B27,"Recette",D$2:D27)-SUMIF(B$2:B27,"Dépense",D$2:D27)</f>
        <v>0</v>
      </c>
    </row>
    <row r="28" spans="5:5" x14ac:dyDescent="0.35">
      <c r="E28">
        <f>SUMIF(B$2:B28,"Recette",D$2:D28)-SUMIF(B$2:B28,"Dépense",D$2:D28)</f>
        <v>0</v>
      </c>
    </row>
    <row r="29" spans="5:5" x14ac:dyDescent="0.35">
      <c r="E29">
        <f>SUMIF(B$2:B29,"Recette",D$2:D29)-SUMIF(B$2:B29,"Dépense",D$2:D29)</f>
        <v>0</v>
      </c>
    </row>
    <row r="30" spans="5:5" x14ac:dyDescent="0.35">
      <c r="E30">
        <f>SUMIF(B$2:B30,"Recette",D$2:D30)-SUMIF(B$2:B30,"Dépense",D$2:D30)</f>
        <v>0</v>
      </c>
    </row>
    <row r="31" spans="5:5" x14ac:dyDescent="0.35">
      <c r="E31">
        <f>SUMIF(B$2:B31,"Recette",D$2:D31)-SUMIF(B$2:B31,"Dépense",D$2:D31)</f>
        <v>0</v>
      </c>
    </row>
    <row r="32" spans="5:5" x14ac:dyDescent="0.35">
      <c r="E32">
        <f>SUMIF(B$2:B32,"Recette",D$2:D32)-SUMIF(B$2:B32,"Dépense",D$2:D32)</f>
        <v>0</v>
      </c>
    </row>
    <row r="33" spans="5:5" x14ac:dyDescent="0.35">
      <c r="E33">
        <f>SUMIF(B$2:B33,"Recette",D$2:D33)-SUMIF(B$2:B33,"Dépense",D$2:D33)</f>
        <v>0</v>
      </c>
    </row>
    <row r="34" spans="5:5" x14ac:dyDescent="0.35">
      <c r="E34">
        <f>SUMIF(B$2:B34,"Recette",D$2:D34)-SUMIF(B$2:B34,"Dépense",D$2:D34)</f>
        <v>0</v>
      </c>
    </row>
    <row r="35" spans="5:5" x14ac:dyDescent="0.35">
      <c r="E35">
        <f>SUMIF(B$2:B35,"Recette",D$2:D35)-SUMIF(B$2:B35,"Dépense",D$2:D35)</f>
        <v>0</v>
      </c>
    </row>
    <row r="36" spans="5:5" x14ac:dyDescent="0.35">
      <c r="E36">
        <f>SUMIF(B$2:B36,"Recette",D$2:D36)-SUMIF(B$2:B36,"Dépense",D$2:D36)</f>
        <v>0</v>
      </c>
    </row>
    <row r="37" spans="5:5" x14ac:dyDescent="0.35">
      <c r="E37">
        <f>SUMIF(B$2:B37,"Recette",D$2:D37)-SUMIF(B$2:B37,"Dépense",D$2:D37)</f>
        <v>0</v>
      </c>
    </row>
    <row r="38" spans="5:5" x14ac:dyDescent="0.35">
      <c r="E38">
        <f>SUMIF(B$2:B38,"Recette",D$2:D38)-SUMIF(B$2:B38,"Dépense",D$2:D38)</f>
        <v>0</v>
      </c>
    </row>
    <row r="39" spans="5:5" x14ac:dyDescent="0.35">
      <c r="E39">
        <f>SUMIF(B$2:B39,"Recette",D$2:D39)-SUMIF(B$2:B39,"Dépense",D$2:D39)</f>
        <v>0</v>
      </c>
    </row>
    <row r="40" spans="5:5" x14ac:dyDescent="0.35">
      <c r="E40">
        <f>SUMIF(B$2:B40,"Recette",D$2:D40)-SUMIF(B$2:B40,"Dépense",D$2:D40)</f>
        <v>0</v>
      </c>
    </row>
    <row r="41" spans="5:5" x14ac:dyDescent="0.35">
      <c r="E41">
        <f>SUMIF(B$2:B41,"Recette",D$2:D41)-SUMIF(B$2:B41,"Dépense",D$2:D41)</f>
        <v>0</v>
      </c>
    </row>
    <row r="42" spans="5:5" x14ac:dyDescent="0.35">
      <c r="E42">
        <f>SUMIF(B$2:B42,"Recette",D$2:D42)-SUMIF(B$2:B42,"Dépense",D$2:D42)</f>
        <v>0</v>
      </c>
    </row>
    <row r="43" spans="5:5" x14ac:dyDescent="0.35">
      <c r="E43">
        <f>SUMIF(B$2:B43,"Recette",D$2:D43)-SUMIF(B$2:B43,"Dépense",D$2:D43)</f>
        <v>0</v>
      </c>
    </row>
    <row r="44" spans="5:5" x14ac:dyDescent="0.35">
      <c r="E44">
        <f>SUMIF(B$2:B44,"Recette",D$2:D44)-SUMIF(B$2:B44,"Dépense",D$2:D44)</f>
        <v>0</v>
      </c>
    </row>
    <row r="45" spans="5:5" x14ac:dyDescent="0.35">
      <c r="E45">
        <f>SUMIF(B$2:B45,"Recette",D$2:D45)-SUMIF(B$2:B45,"Dépense",D$2:D45)</f>
        <v>0</v>
      </c>
    </row>
    <row r="46" spans="5:5" x14ac:dyDescent="0.35">
      <c r="E46">
        <f>SUMIF(B$2:B46,"Recette",D$2:D46)-SUMIF(B$2:B46,"Dépense",D$2:D46)</f>
        <v>0</v>
      </c>
    </row>
    <row r="47" spans="5:5" x14ac:dyDescent="0.35">
      <c r="E47">
        <f>SUMIF(B$2:B47,"Recette",D$2:D47)-SUMIF(B$2:B47,"Dépense",D$2:D47)</f>
        <v>0</v>
      </c>
    </row>
    <row r="48" spans="5:5" x14ac:dyDescent="0.35">
      <c r="E48">
        <f>SUMIF(B$2:B48,"Recette",D$2:D48)-SUMIF(B$2:B48,"Dépense",D$2:D48)</f>
        <v>0</v>
      </c>
    </row>
    <row r="49" spans="5:5" x14ac:dyDescent="0.35">
      <c r="E49">
        <f>SUMIF(B$2:B49,"Recette",D$2:D49)-SUMIF(B$2:B49,"Dépense",D$2:D49)</f>
        <v>0</v>
      </c>
    </row>
    <row r="50" spans="5:5" x14ac:dyDescent="0.35">
      <c r="E50">
        <f>SUMIF(B$2:B50,"Recette",D$2:D50)-SUMIF(B$2:B50,"Dépense",D$2:D50)</f>
        <v>0</v>
      </c>
    </row>
    <row r="51" spans="5:5" x14ac:dyDescent="0.35">
      <c r="E51">
        <f>SUMIF(B$2:B51,"Recette",D$2:D51)-SUMIF(B$2:B51,"Dépense",D$2:D51)</f>
        <v>0</v>
      </c>
    </row>
    <row r="52" spans="5:5" x14ac:dyDescent="0.35">
      <c r="E52">
        <f>SUMIF(B$2:B52,"Recette",D$2:D52)-SUMIF(B$2:B52,"Dépense",D$2:D52)</f>
        <v>0</v>
      </c>
    </row>
    <row r="53" spans="5:5" x14ac:dyDescent="0.35">
      <c r="E53">
        <f>SUMIF(B$2:B53,"Recette",D$2:D53)-SUMIF(B$2:B53,"Dépense",D$2:D53)</f>
        <v>0</v>
      </c>
    </row>
    <row r="54" spans="5:5" x14ac:dyDescent="0.35">
      <c r="E54">
        <f>SUMIF(B$2:B54,"Recette",D$2:D54)-SUMIF(B$2:B54,"Dépense",D$2:D54)</f>
        <v>0</v>
      </c>
    </row>
    <row r="55" spans="5:5" x14ac:dyDescent="0.35">
      <c r="E55">
        <f>SUMIF(B$2:B55,"Recette",D$2:D55)-SUMIF(B$2:B55,"Dépense",D$2:D55)</f>
        <v>0</v>
      </c>
    </row>
    <row r="56" spans="5:5" x14ac:dyDescent="0.35">
      <c r="E56">
        <f>SUMIF(B$2:B56,"Recette",D$2:D56)-SUMIF(B$2:B56,"Dépense",D$2:D56)</f>
        <v>0</v>
      </c>
    </row>
    <row r="57" spans="5:5" x14ac:dyDescent="0.35">
      <c r="E57">
        <f>SUMIF(B$2:B57,"Recette",D$2:D57)-SUMIF(B$2:B57,"Dépense",D$2:D57)</f>
        <v>0</v>
      </c>
    </row>
    <row r="58" spans="5:5" x14ac:dyDescent="0.35">
      <c r="E58">
        <f>SUMIF(B$2:B58,"Recette",D$2:D58)-SUMIF(B$2:B58,"Dépense",D$2:D58)</f>
        <v>0</v>
      </c>
    </row>
    <row r="59" spans="5:5" x14ac:dyDescent="0.35">
      <c r="E59">
        <f>SUMIF(B$2:B59,"Recette",D$2:D59)-SUMIF(B$2:B59,"Dépense",D$2:D59)</f>
        <v>0</v>
      </c>
    </row>
    <row r="60" spans="5:5" x14ac:dyDescent="0.35">
      <c r="E60">
        <f>SUMIF(B$2:B60,"Recette",D$2:D60)-SUMIF(B$2:B60,"Dépense",D$2:D60)</f>
        <v>0</v>
      </c>
    </row>
    <row r="61" spans="5:5" x14ac:dyDescent="0.35">
      <c r="E61">
        <f>SUMIF(B$2:B61,"Recette",D$2:D61)-SUMIF(B$2:B61,"Dépense",D$2:D61)</f>
        <v>0</v>
      </c>
    </row>
    <row r="62" spans="5:5" x14ac:dyDescent="0.35">
      <c r="E62">
        <f>SUMIF(B$2:B62,"Recette",D$2:D62)-SUMIF(B$2:B62,"Dépense",D$2:D62)</f>
        <v>0</v>
      </c>
    </row>
    <row r="63" spans="5:5" x14ac:dyDescent="0.35">
      <c r="E63">
        <f>SUMIF(B$2:B63,"Recette",D$2:D63)-SUMIF(B$2:B63,"Dépense",D$2:D63)</f>
        <v>0</v>
      </c>
    </row>
    <row r="64" spans="5:5" x14ac:dyDescent="0.35">
      <c r="E64">
        <f>SUMIF(B$2:B64,"Recette",D$2:D64)-SUMIF(B$2:B64,"Dépense",D$2:D64)</f>
        <v>0</v>
      </c>
    </row>
    <row r="65" spans="5:5" x14ac:dyDescent="0.35">
      <c r="E65">
        <f>SUMIF(B$2:B65,"Recette",D$2:D65)-SUMIF(B$2:B65,"Dépense",D$2:D65)</f>
        <v>0</v>
      </c>
    </row>
    <row r="66" spans="5:5" x14ac:dyDescent="0.35">
      <c r="E66">
        <f>SUMIF(B$2:B66,"Recette",D$2:D66)-SUMIF(B$2:B66,"Dépense",D$2:D66)</f>
        <v>0</v>
      </c>
    </row>
    <row r="67" spans="5:5" x14ac:dyDescent="0.35">
      <c r="E67">
        <f>SUMIF(B$2:B67,"Recette",D$2:D67)-SUMIF(B$2:B67,"Dépense",D$2:D67)</f>
        <v>0</v>
      </c>
    </row>
    <row r="68" spans="5:5" x14ac:dyDescent="0.35">
      <c r="E68">
        <f>SUMIF(B$2:B68,"Recette",D$2:D68)-SUMIF(B$2:B68,"Dépense",D$2:D68)</f>
        <v>0</v>
      </c>
    </row>
    <row r="69" spans="5:5" x14ac:dyDescent="0.35">
      <c r="E69">
        <f>SUMIF(B$2:B69,"Recette",D$2:D69)-SUMIF(B$2:B69,"Dépense",D$2:D69)</f>
        <v>0</v>
      </c>
    </row>
    <row r="70" spans="5:5" x14ac:dyDescent="0.35">
      <c r="E70">
        <f>SUMIF(B$2:B70,"Recette",D$2:D70)-SUMIF(B$2:B70,"Dépense",D$2:D70)</f>
        <v>0</v>
      </c>
    </row>
    <row r="71" spans="5:5" x14ac:dyDescent="0.35">
      <c r="E71">
        <f>SUMIF(B$2:B71,"Recette",D$2:D71)-SUMIF(B$2:B71,"Dépense",D$2:D71)</f>
        <v>0</v>
      </c>
    </row>
    <row r="72" spans="5:5" x14ac:dyDescent="0.35">
      <c r="E72">
        <f>SUMIF(B$2:B72,"Recette",D$2:D72)-SUMIF(B$2:B72,"Dépense",D$2:D72)</f>
        <v>0</v>
      </c>
    </row>
    <row r="73" spans="5:5" x14ac:dyDescent="0.35">
      <c r="E73">
        <f>SUMIF(B$2:B73,"Recette",D$2:D73)-SUMIF(B$2:B73,"Dépense",D$2:D73)</f>
        <v>0</v>
      </c>
    </row>
    <row r="74" spans="5:5" x14ac:dyDescent="0.35">
      <c r="E74">
        <f>SUMIF(B$2:B74,"Recette",D$2:D74)-SUMIF(B$2:B74,"Dépense",D$2:D74)</f>
        <v>0</v>
      </c>
    </row>
    <row r="75" spans="5:5" x14ac:dyDescent="0.35">
      <c r="E75">
        <f>SUMIF(B$2:B75,"Recette",D$2:D75)-SUMIF(B$2:B75,"Dépense",D$2:D75)</f>
        <v>0</v>
      </c>
    </row>
    <row r="76" spans="5:5" x14ac:dyDescent="0.35">
      <c r="E76">
        <f>SUMIF(B$2:B76,"Recette",D$2:D76)-SUMIF(B$2:B76,"Dépense",D$2:D76)</f>
        <v>0</v>
      </c>
    </row>
    <row r="77" spans="5:5" x14ac:dyDescent="0.35">
      <c r="E77">
        <f>SUMIF(B$2:B77,"Recette",D$2:D77)-SUMIF(B$2:B77,"Dépense",D$2:D77)</f>
        <v>0</v>
      </c>
    </row>
    <row r="78" spans="5:5" x14ac:dyDescent="0.35">
      <c r="E78">
        <f>SUMIF(B$2:B78,"Recette",D$2:D78)-SUMIF(B$2:B78,"Dépense",D$2:D78)</f>
        <v>0</v>
      </c>
    </row>
    <row r="79" spans="5:5" x14ac:dyDescent="0.35">
      <c r="E79">
        <f>SUMIF(B$2:B79,"Recette",D$2:D79)-SUMIF(B$2:B79,"Dépense",D$2:D79)</f>
        <v>0</v>
      </c>
    </row>
    <row r="80" spans="5:5" x14ac:dyDescent="0.35">
      <c r="E80">
        <f>SUMIF(B$2:B80,"Recette",D$2:D80)-SUMIF(B$2:B80,"Dépense",D$2:D80)</f>
        <v>0</v>
      </c>
    </row>
    <row r="81" spans="5:5" x14ac:dyDescent="0.35">
      <c r="E81">
        <f>SUMIF(B$2:B81,"Recette",D$2:D81)-SUMIF(B$2:B81,"Dépense",D$2:D81)</f>
        <v>0</v>
      </c>
    </row>
    <row r="82" spans="5:5" x14ac:dyDescent="0.35">
      <c r="E82">
        <f>SUMIF(B$2:B82,"Recette",D$2:D82)-SUMIF(B$2:B82,"Dépense",D$2:D82)</f>
        <v>0</v>
      </c>
    </row>
    <row r="83" spans="5:5" x14ac:dyDescent="0.35">
      <c r="E83">
        <f>SUMIF(B$2:B83,"Recette",D$2:D83)-SUMIF(B$2:B83,"Dépense",D$2:D83)</f>
        <v>0</v>
      </c>
    </row>
    <row r="84" spans="5:5" x14ac:dyDescent="0.35">
      <c r="E84">
        <f>SUMIF(B$2:B84,"Recette",D$2:D84)-SUMIF(B$2:B84,"Dépense",D$2:D84)</f>
        <v>0</v>
      </c>
    </row>
    <row r="85" spans="5:5" x14ac:dyDescent="0.35">
      <c r="E85">
        <f>SUMIF(B$2:B85,"Recette",D$2:D85)-SUMIF(B$2:B85,"Dépense",D$2:D85)</f>
        <v>0</v>
      </c>
    </row>
    <row r="86" spans="5:5" x14ac:dyDescent="0.35">
      <c r="E86">
        <f>SUMIF(B$2:B86,"Recette",D$2:D86)-SUMIF(B$2:B86,"Dépense",D$2:D86)</f>
        <v>0</v>
      </c>
    </row>
    <row r="87" spans="5:5" x14ac:dyDescent="0.35">
      <c r="E87">
        <f>SUMIF(B$2:B87,"Recette",D$2:D87)-SUMIF(B$2:B87,"Dépense",D$2:D87)</f>
        <v>0</v>
      </c>
    </row>
    <row r="88" spans="5:5" x14ac:dyDescent="0.35">
      <c r="E88">
        <f>SUMIF(B$2:B88,"Recette",D$2:D88)-SUMIF(B$2:B88,"Dépense",D$2:D88)</f>
        <v>0</v>
      </c>
    </row>
    <row r="89" spans="5:5" x14ac:dyDescent="0.35">
      <c r="E89">
        <f>SUMIF(B$2:B89,"Recette",D$2:D89)-SUMIF(B$2:B89,"Dépense",D$2:D89)</f>
        <v>0</v>
      </c>
    </row>
    <row r="90" spans="5:5" x14ac:dyDescent="0.35">
      <c r="E90">
        <f>SUMIF(B$2:B90,"Recette",D$2:D90)-SUMIF(B$2:B90,"Dépense",D$2:D90)</f>
        <v>0</v>
      </c>
    </row>
    <row r="91" spans="5:5" x14ac:dyDescent="0.35">
      <c r="E91">
        <f>SUMIF(B$2:B91,"Recette",D$2:D91)-SUMIF(B$2:B91,"Dépense",D$2:D91)</f>
        <v>0</v>
      </c>
    </row>
    <row r="92" spans="5:5" x14ac:dyDescent="0.35">
      <c r="E92">
        <f>SUMIF(B$2:B92,"Recette",D$2:D92)-SUMIF(B$2:B92,"Dépense",D$2:D92)</f>
        <v>0</v>
      </c>
    </row>
    <row r="93" spans="5:5" x14ac:dyDescent="0.35">
      <c r="E93">
        <f>SUMIF(B$2:B93,"Recette",D$2:D93)-SUMIF(B$2:B93,"Dépense",D$2:D93)</f>
        <v>0</v>
      </c>
    </row>
    <row r="94" spans="5:5" x14ac:dyDescent="0.35">
      <c r="E94">
        <f>SUMIF(B$2:B94,"Recette",D$2:D94)-SUMIF(B$2:B94,"Dépense",D$2:D94)</f>
        <v>0</v>
      </c>
    </row>
    <row r="95" spans="5:5" x14ac:dyDescent="0.35">
      <c r="E95">
        <f>SUMIF(B$2:B95,"Recette",D$2:D95)-SUMIF(B$2:B95,"Dépense",D$2:D95)</f>
        <v>0</v>
      </c>
    </row>
    <row r="96" spans="5:5" x14ac:dyDescent="0.35">
      <c r="E96">
        <f>SUMIF(B$2:B96,"Recette",D$2:D96)-SUMIF(B$2:B96,"Dépense",D$2:D96)</f>
        <v>0</v>
      </c>
    </row>
    <row r="97" spans="5:5" x14ac:dyDescent="0.35">
      <c r="E97">
        <f>SUMIF(B$2:B97,"Recette",D$2:D97)-SUMIF(B$2:B97,"Dépense",D$2:D97)</f>
        <v>0</v>
      </c>
    </row>
    <row r="98" spans="5:5" x14ac:dyDescent="0.35">
      <c r="E98">
        <f>SUMIF(B$2:B98,"Recette",D$2:D98)-SUMIF(B$2:B98,"Dépense",D$2:D98)</f>
        <v>0</v>
      </c>
    </row>
    <row r="99" spans="5:5" x14ac:dyDescent="0.35">
      <c r="E99">
        <f>SUMIF(B$2:B99,"Recette",D$2:D99)-SUMIF(B$2:B99,"Dépense",D$2:D99)</f>
        <v>0</v>
      </c>
    </row>
    <row r="100" spans="5:5" x14ac:dyDescent="0.35">
      <c r="E100">
        <f>SUMIF(B$2:B100,"Recette",D$2:D100)-SUMIF(B$2:B100,"Dépense",D$2:D100)</f>
        <v>0</v>
      </c>
    </row>
    <row r="101" spans="5:5" x14ac:dyDescent="0.35">
      <c r="E101">
        <f>SUMIF(B$2:B101,"Recette",D$2:D101)-SUMIF(B$2:B101,"Dépense",D$2:D101)</f>
        <v>0</v>
      </c>
    </row>
    <row r="102" spans="5:5" x14ac:dyDescent="0.35">
      <c r="E102">
        <f>SUMIF(B$2:B102,"Recette",D$2:D102)-SUMIF(B$2:B102,"Dépense",D$2:D102)</f>
        <v>0</v>
      </c>
    </row>
    <row r="103" spans="5:5" x14ac:dyDescent="0.35">
      <c r="E103">
        <f>SUMIF(B$2:B103,"Recette",D$2:D103)-SUMIF(B$2:B103,"Dépense",D$2:D103)</f>
        <v>0</v>
      </c>
    </row>
    <row r="104" spans="5:5" x14ac:dyDescent="0.35">
      <c r="E104">
        <f>SUMIF(B$2:B104,"Recette",D$2:D104)-SUMIF(B$2:B104,"Dépense",D$2:D104)</f>
        <v>0</v>
      </c>
    </row>
    <row r="105" spans="5:5" x14ac:dyDescent="0.35">
      <c r="E105">
        <f>SUMIF(B$2:B105,"Recette",D$2:D105)-SUMIF(B$2:B105,"Dépense",D$2:D105)</f>
        <v>0</v>
      </c>
    </row>
    <row r="106" spans="5:5" x14ac:dyDescent="0.35">
      <c r="E106">
        <f>SUMIF(B$2:B106,"Recette",D$2:D106)-SUMIF(B$2:B106,"Dépense",D$2:D106)</f>
        <v>0</v>
      </c>
    </row>
    <row r="107" spans="5:5" x14ac:dyDescent="0.35">
      <c r="E107">
        <f>SUMIF(B$2:B107,"Recette",D$2:D107)-SUMIF(B$2:B107,"Dépense",D$2:D107)</f>
        <v>0</v>
      </c>
    </row>
    <row r="108" spans="5:5" x14ac:dyDescent="0.35">
      <c r="E108">
        <f>SUMIF(B$2:B108,"Recette",D$2:D108)-SUMIF(B$2:B108,"Dépense",D$2:D108)</f>
        <v>0</v>
      </c>
    </row>
    <row r="109" spans="5:5" x14ac:dyDescent="0.35">
      <c r="E109">
        <f>SUMIF(B$2:B109,"Recette",D$2:D109)-SUMIF(B$2:B109,"Dépense",D$2:D109)</f>
        <v>0</v>
      </c>
    </row>
    <row r="110" spans="5:5" x14ac:dyDescent="0.35">
      <c r="E110">
        <f>SUMIF(B$2:B110,"Recette",D$2:D110)-SUMIF(B$2:B110,"Dépense",D$2:D110)</f>
        <v>0</v>
      </c>
    </row>
    <row r="111" spans="5:5" x14ac:dyDescent="0.35">
      <c r="E111">
        <f>SUMIF(B$2:B111,"Recette",D$2:D111)-SUMIF(B$2:B111,"Dépense",D$2:D111)</f>
        <v>0</v>
      </c>
    </row>
    <row r="112" spans="5:5" x14ac:dyDescent="0.35">
      <c r="E112">
        <f>SUMIF(B$2:B112,"Recette",D$2:D112)-SUMIF(B$2:B112,"Dépense",D$2:D112)</f>
        <v>0</v>
      </c>
    </row>
    <row r="113" spans="5:5" x14ac:dyDescent="0.35">
      <c r="E113">
        <f>SUMIF(B$2:B113,"Recette",D$2:D113)-SUMIF(B$2:B113,"Dépense",D$2:D113)</f>
        <v>0</v>
      </c>
    </row>
    <row r="114" spans="5:5" x14ac:dyDescent="0.35">
      <c r="E114">
        <f>SUMIF(B$2:B114,"Recette",D$2:D114)-SUMIF(B$2:B114,"Dépense",D$2:D114)</f>
        <v>0</v>
      </c>
    </row>
    <row r="115" spans="5:5" x14ac:dyDescent="0.35">
      <c r="E115">
        <f>SUMIF(B$2:B115,"Recette",D$2:D115)-SUMIF(B$2:B115,"Dépense",D$2:D115)</f>
        <v>0</v>
      </c>
    </row>
    <row r="116" spans="5:5" x14ac:dyDescent="0.35">
      <c r="E116">
        <f>SUMIF(B$2:B116,"Recette",D$2:D116)-SUMIF(B$2:B116,"Dépense",D$2:D116)</f>
        <v>0</v>
      </c>
    </row>
    <row r="117" spans="5:5" x14ac:dyDescent="0.35">
      <c r="E117">
        <f>SUMIF(B$2:B117,"Recette",D$2:D117)-SUMIF(B$2:B117,"Dépense",D$2:D117)</f>
        <v>0</v>
      </c>
    </row>
    <row r="118" spans="5:5" x14ac:dyDescent="0.35">
      <c r="E118">
        <f>SUMIF(B$2:B118,"Recette",D$2:D118)-SUMIF(B$2:B118,"Dépense",D$2:D118)</f>
        <v>0</v>
      </c>
    </row>
    <row r="119" spans="5:5" x14ac:dyDescent="0.35">
      <c r="E119">
        <f>SUMIF(B$2:B119,"Recette",D$2:D119)-SUMIF(B$2:B119,"Dépense",D$2:D119)</f>
        <v>0</v>
      </c>
    </row>
    <row r="120" spans="5:5" x14ac:dyDescent="0.35">
      <c r="E120">
        <f>SUMIF(B$2:B120,"Recette",D$2:D120)-SUMIF(B$2:B120,"Dépense",D$2:D120)</f>
        <v>0</v>
      </c>
    </row>
    <row r="121" spans="5:5" x14ac:dyDescent="0.35">
      <c r="E121">
        <f>SUMIF(B$2:B121,"Recette",D$2:D121)-SUMIF(B$2:B121,"Dépense",D$2:D121)</f>
        <v>0</v>
      </c>
    </row>
    <row r="122" spans="5:5" x14ac:dyDescent="0.35">
      <c r="E122">
        <f>SUMIF(B$2:B122,"Recette",D$2:D122)-SUMIF(B$2:B122,"Dépense",D$2:D122)</f>
        <v>0</v>
      </c>
    </row>
    <row r="123" spans="5:5" x14ac:dyDescent="0.35">
      <c r="E123">
        <f>SUMIF(B$2:B123,"Recette",D$2:D123)-SUMIF(B$2:B123,"Dépense",D$2:D123)</f>
        <v>0</v>
      </c>
    </row>
    <row r="124" spans="5:5" x14ac:dyDescent="0.35">
      <c r="E124">
        <f>SUMIF(B$2:B124,"Recette",D$2:D124)-SUMIF(B$2:B124,"Dépense",D$2:D124)</f>
        <v>0</v>
      </c>
    </row>
    <row r="125" spans="5:5" x14ac:dyDescent="0.35">
      <c r="E125">
        <f>SUMIF(B$2:B125,"Recette",D$2:D125)-SUMIF(B$2:B125,"Dépense",D$2:D125)</f>
        <v>0</v>
      </c>
    </row>
    <row r="126" spans="5:5" x14ac:dyDescent="0.35">
      <c r="E126">
        <f>SUMIF(B$2:B126,"Recette",D$2:D126)-SUMIF(B$2:B126,"Dépense",D$2:D126)</f>
        <v>0</v>
      </c>
    </row>
    <row r="127" spans="5:5" x14ac:dyDescent="0.35">
      <c r="E127">
        <f>SUMIF(B$2:B127,"Recette",D$2:D127)-SUMIF(B$2:B127,"Dépense",D$2:D127)</f>
        <v>0</v>
      </c>
    </row>
    <row r="128" spans="5:5" x14ac:dyDescent="0.35">
      <c r="E128">
        <f>SUMIF(B$2:B128,"Recette",D$2:D128)-SUMIF(B$2:B128,"Dépense",D$2:D128)</f>
        <v>0</v>
      </c>
    </row>
    <row r="129" spans="5:5" x14ac:dyDescent="0.35">
      <c r="E129">
        <f>SUMIF(B$2:B129,"Recette",D$2:D129)-SUMIF(B$2:B129,"Dépense",D$2:D129)</f>
        <v>0</v>
      </c>
    </row>
    <row r="130" spans="5:5" x14ac:dyDescent="0.35">
      <c r="E130">
        <f>SUMIF(B$2:B130,"Recette",D$2:D130)-SUMIF(B$2:B130,"Dépense",D$2:D130)</f>
        <v>0</v>
      </c>
    </row>
    <row r="131" spans="5:5" x14ac:dyDescent="0.35">
      <c r="E131">
        <f>SUMIF(B$2:B131,"Recette",D$2:D131)-SUMIF(B$2:B131,"Dépense",D$2:D131)</f>
        <v>0</v>
      </c>
    </row>
    <row r="132" spans="5:5" x14ac:dyDescent="0.35">
      <c r="E132">
        <f>SUMIF(B$2:B132,"Recette",D$2:D132)-SUMIF(B$2:B132,"Dépense",D$2:D132)</f>
        <v>0</v>
      </c>
    </row>
    <row r="133" spans="5:5" x14ac:dyDescent="0.35">
      <c r="E133">
        <f>SUMIF(B$2:B133,"Recette",D$2:D133)-SUMIF(B$2:B133,"Dépense",D$2:D133)</f>
        <v>0</v>
      </c>
    </row>
    <row r="134" spans="5:5" x14ac:dyDescent="0.35">
      <c r="E134">
        <f>SUMIF(B$2:B134,"Recette",D$2:D134)-SUMIF(B$2:B134,"Dépense",D$2:D134)</f>
        <v>0</v>
      </c>
    </row>
    <row r="135" spans="5:5" x14ac:dyDescent="0.35">
      <c r="E135">
        <f>SUMIF(B$2:B135,"Recette",D$2:D135)-SUMIF(B$2:B135,"Dépense",D$2:D135)</f>
        <v>0</v>
      </c>
    </row>
    <row r="136" spans="5:5" x14ac:dyDescent="0.35">
      <c r="E136">
        <f>SUMIF(B$2:B136,"Recette",D$2:D136)-SUMIF(B$2:B136,"Dépense",D$2:D136)</f>
        <v>0</v>
      </c>
    </row>
    <row r="137" spans="5:5" x14ac:dyDescent="0.35">
      <c r="E137">
        <f>SUMIF(B$2:B137,"Recette",D$2:D137)-SUMIF(B$2:B137,"Dépense",D$2:D137)</f>
        <v>0</v>
      </c>
    </row>
    <row r="138" spans="5:5" x14ac:dyDescent="0.35">
      <c r="E138">
        <f>SUMIF(B$2:B138,"Recette",D$2:D138)-SUMIF(B$2:B138,"Dépense",D$2:D138)</f>
        <v>0</v>
      </c>
    </row>
    <row r="139" spans="5:5" x14ac:dyDescent="0.35">
      <c r="E139">
        <f>SUMIF(B$2:B139,"Recette",D$2:D139)-SUMIF(B$2:B139,"Dépense",D$2:D139)</f>
        <v>0</v>
      </c>
    </row>
    <row r="140" spans="5:5" x14ac:dyDescent="0.35">
      <c r="E140">
        <f>SUMIF(B$2:B140,"Recette",D$2:D140)-SUMIF(B$2:B140,"Dépense",D$2:D140)</f>
        <v>0</v>
      </c>
    </row>
    <row r="141" spans="5:5" x14ac:dyDescent="0.35">
      <c r="E141">
        <f>SUMIF(B$2:B141,"Recette",D$2:D141)-SUMIF(B$2:B141,"Dépense",D$2:D141)</f>
        <v>0</v>
      </c>
    </row>
    <row r="142" spans="5:5" x14ac:dyDescent="0.35">
      <c r="E142">
        <f>SUMIF(B$2:B142,"Recette",D$2:D142)-SUMIF(B$2:B142,"Dépense",D$2:D142)</f>
        <v>0</v>
      </c>
    </row>
    <row r="143" spans="5:5" x14ac:dyDescent="0.35">
      <c r="E143">
        <f>SUMIF(B$2:B143,"Recette",D$2:D143)-SUMIF(B$2:B143,"Dépense",D$2:D143)</f>
        <v>0</v>
      </c>
    </row>
    <row r="144" spans="5:5" x14ac:dyDescent="0.35">
      <c r="E144">
        <f>SUMIF(B$2:B144,"Recette",D$2:D144)-SUMIF(B$2:B144,"Dépense",D$2:D144)</f>
        <v>0</v>
      </c>
    </row>
    <row r="145" spans="5:5" x14ac:dyDescent="0.35">
      <c r="E145">
        <f>SUMIF(B$2:B145,"Recette",D$2:D145)-SUMIF(B$2:B145,"Dépense",D$2:D145)</f>
        <v>0</v>
      </c>
    </row>
    <row r="146" spans="5:5" x14ac:dyDescent="0.35">
      <c r="E146">
        <f>SUMIF(B$2:B146,"Recette",D$2:D146)-SUMIF(B$2:B146,"Dépense",D$2:D146)</f>
        <v>0</v>
      </c>
    </row>
    <row r="147" spans="5:5" x14ac:dyDescent="0.35">
      <c r="E147">
        <f>SUMIF(B$2:B147,"Recette",D$2:D147)-SUMIF(B$2:B147,"Dépense",D$2:D147)</f>
        <v>0</v>
      </c>
    </row>
    <row r="148" spans="5:5" x14ac:dyDescent="0.35">
      <c r="E148">
        <f>SUMIF(B$2:B148,"Recette",D$2:D148)-SUMIF(B$2:B148,"Dépense",D$2:D148)</f>
        <v>0</v>
      </c>
    </row>
    <row r="149" spans="5:5" x14ac:dyDescent="0.35">
      <c r="E149">
        <f>SUMIF(B$2:B149,"Recette",D$2:D149)-SUMIF(B$2:B149,"Dépense",D$2:D149)</f>
        <v>0</v>
      </c>
    </row>
    <row r="150" spans="5:5" x14ac:dyDescent="0.35">
      <c r="E150">
        <f>SUMIF(B$2:B150,"Recette",D$2:D150)-SUMIF(B$2:B150,"Dépense",D$2:D150)</f>
        <v>0</v>
      </c>
    </row>
    <row r="151" spans="5:5" x14ac:dyDescent="0.35">
      <c r="E151">
        <f>SUMIF(B$2:B151,"Recette",D$2:D151)-SUMIF(B$2:B151,"Dépense",D$2:D151)</f>
        <v>0</v>
      </c>
    </row>
    <row r="152" spans="5:5" x14ac:dyDescent="0.35">
      <c r="E152">
        <f>SUMIF(B$2:B152,"Recette",D$2:D152)-SUMIF(B$2:B152,"Dépense",D$2:D152)</f>
        <v>0</v>
      </c>
    </row>
    <row r="153" spans="5:5" x14ac:dyDescent="0.35">
      <c r="E153">
        <f>SUMIF(B$2:B153,"Recette",D$2:D153)-SUMIF(B$2:B153,"Dépense",D$2:D153)</f>
        <v>0</v>
      </c>
    </row>
    <row r="154" spans="5:5" x14ac:dyDescent="0.35">
      <c r="E154">
        <f>SUMIF(B$2:B154,"Recette",D$2:D154)-SUMIF(B$2:B154,"Dépense",D$2:D154)</f>
        <v>0</v>
      </c>
    </row>
    <row r="155" spans="5:5" x14ac:dyDescent="0.35">
      <c r="E155">
        <f>SUMIF(B$2:B155,"Recette",D$2:D155)-SUMIF(B$2:B155,"Dépense",D$2:D155)</f>
        <v>0</v>
      </c>
    </row>
    <row r="156" spans="5:5" x14ac:dyDescent="0.35">
      <c r="E156">
        <f>SUMIF(B$2:B156,"Recette",D$2:D156)-SUMIF(B$2:B156,"Dépense",D$2:D156)</f>
        <v>0</v>
      </c>
    </row>
    <row r="157" spans="5:5" x14ac:dyDescent="0.35">
      <c r="E157">
        <f>SUMIF(B$2:B157,"Recette",D$2:D157)-SUMIF(B$2:B157,"Dépense",D$2:D157)</f>
        <v>0</v>
      </c>
    </row>
    <row r="158" spans="5:5" x14ac:dyDescent="0.35">
      <c r="E158">
        <f>SUMIF(B$2:B158,"Recette",D$2:D158)-SUMIF(B$2:B158,"Dépense",D$2:D158)</f>
        <v>0</v>
      </c>
    </row>
    <row r="159" spans="5:5" x14ac:dyDescent="0.35">
      <c r="E159">
        <f>SUMIF(B$2:B159,"Recette",D$2:D159)-SUMIF(B$2:B159,"Dépense",D$2:D159)</f>
        <v>0</v>
      </c>
    </row>
    <row r="160" spans="5:5" x14ac:dyDescent="0.35">
      <c r="E160">
        <f>SUMIF(B$2:B160,"Recette",D$2:D160)-SUMIF(B$2:B160,"Dépense",D$2:D160)</f>
        <v>0</v>
      </c>
    </row>
    <row r="161" spans="5:5" x14ac:dyDescent="0.35">
      <c r="E161">
        <f>SUMIF(B$2:B161,"Recette",D$2:D161)-SUMIF(B$2:B161,"Dépense",D$2:D161)</f>
        <v>0</v>
      </c>
    </row>
    <row r="162" spans="5:5" x14ac:dyDescent="0.35">
      <c r="E162">
        <f>SUMIF(B$2:B162,"Recette",D$2:D162)-SUMIF(B$2:B162,"Dépense",D$2:D162)</f>
        <v>0</v>
      </c>
    </row>
    <row r="163" spans="5:5" x14ac:dyDescent="0.35">
      <c r="E163">
        <f>SUMIF(B$2:B163,"Recette",D$2:D163)-SUMIF(B$2:B163,"Dépense",D$2:D163)</f>
        <v>0</v>
      </c>
    </row>
    <row r="164" spans="5:5" x14ac:dyDescent="0.35">
      <c r="E164">
        <f>SUMIF(B$2:B164,"Recette",D$2:D164)-SUMIF(B$2:B164,"Dépense",D$2:D164)</f>
        <v>0</v>
      </c>
    </row>
    <row r="165" spans="5:5" x14ac:dyDescent="0.35">
      <c r="E165">
        <f>SUMIF(B$2:B165,"Recette",D$2:D165)-SUMIF(B$2:B165,"Dépense",D$2:D165)</f>
        <v>0</v>
      </c>
    </row>
    <row r="166" spans="5:5" x14ac:dyDescent="0.35">
      <c r="E166">
        <f>SUMIF(B$2:B166,"Recette",D$2:D166)-SUMIF(B$2:B166,"Dépense",D$2:D166)</f>
        <v>0</v>
      </c>
    </row>
    <row r="167" spans="5:5" x14ac:dyDescent="0.35">
      <c r="E167">
        <f>SUMIF(B$2:B167,"Recette",D$2:D167)-SUMIF(B$2:B167,"Dépense",D$2:D167)</f>
        <v>0</v>
      </c>
    </row>
    <row r="168" spans="5:5" x14ac:dyDescent="0.35">
      <c r="E168">
        <f>SUMIF(B$2:B168,"Recette",D$2:D168)-SUMIF(B$2:B168,"Dépense",D$2:D168)</f>
        <v>0</v>
      </c>
    </row>
    <row r="169" spans="5:5" x14ac:dyDescent="0.35">
      <c r="E169">
        <f>SUMIF(B$2:B169,"Recette",D$2:D169)-SUMIF(B$2:B169,"Dépense",D$2:D169)</f>
        <v>0</v>
      </c>
    </row>
    <row r="170" spans="5:5" x14ac:dyDescent="0.35">
      <c r="E170">
        <f>SUMIF(B$2:B170,"Recette",D$2:D170)-SUMIF(B$2:B170,"Dépense",D$2:D170)</f>
        <v>0</v>
      </c>
    </row>
    <row r="171" spans="5:5" x14ac:dyDescent="0.35">
      <c r="E171">
        <f>SUMIF(B$2:B171,"Recette",D$2:D171)-SUMIF(B$2:B171,"Dépense",D$2:D171)</f>
        <v>0</v>
      </c>
    </row>
    <row r="172" spans="5:5" x14ac:dyDescent="0.35">
      <c r="E172">
        <f>SUMIF(B$2:B172,"Recette",D$2:D172)-SUMIF(B$2:B172,"Dépense",D$2:D172)</f>
        <v>0</v>
      </c>
    </row>
    <row r="173" spans="5:5" x14ac:dyDescent="0.35">
      <c r="E173">
        <f>SUMIF(B$2:B173,"Recette",D$2:D173)-SUMIF(B$2:B173,"Dépense",D$2:D173)</f>
        <v>0</v>
      </c>
    </row>
    <row r="174" spans="5:5" x14ac:dyDescent="0.35">
      <c r="E174">
        <f>SUMIF(B$2:B174,"Recette",D$2:D174)-SUMIF(B$2:B174,"Dépense",D$2:D174)</f>
        <v>0</v>
      </c>
    </row>
    <row r="175" spans="5:5" x14ac:dyDescent="0.35">
      <c r="E175">
        <f>SUMIF(B$2:B175,"Recette",D$2:D175)-SUMIF(B$2:B175,"Dépense",D$2:D175)</f>
        <v>0</v>
      </c>
    </row>
    <row r="176" spans="5:5" x14ac:dyDescent="0.35">
      <c r="E176">
        <f>SUMIF(B$2:B176,"Recette",D$2:D176)-SUMIF(B$2:B176,"Dépense",D$2:D176)</f>
        <v>0</v>
      </c>
    </row>
    <row r="177" spans="5:5" x14ac:dyDescent="0.35">
      <c r="E177">
        <f>SUMIF(B$2:B177,"Recette",D$2:D177)-SUMIF(B$2:B177,"Dépense",D$2:D177)</f>
        <v>0</v>
      </c>
    </row>
    <row r="178" spans="5:5" x14ac:dyDescent="0.35">
      <c r="E178">
        <f>SUMIF(B$2:B178,"Recette",D$2:D178)-SUMIF(B$2:B178,"Dépense",D$2:D178)</f>
        <v>0</v>
      </c>
    </row>
    <row r="179" spans="5:5" x14ac:dyDescent="0.35">
      <c r="E179">
        <f>SUMIF(B$2:B179,"Recette",D$2:D179)-SUMIF(B$2:B179,"Dépense",D$2:D179)</f>
        <v>0</v>
      </c>
    </row>
    <row r="180" spans="5:5" x14ac:dyDescent="0.35">
      <c r="E180">
        <f>SUMIF(B$2:B180,"Recette",D$2:D180)-SUMIF(B$2:B180,"Dépense",D$2:D180)</f>
        <v>0</v>
      </c>
    </row>
    <row r="181" spans="5:5" x14ac:dyDescent="0.35">
      <c r="E181">
        <f>SUMIF(B$2:B181,"Recette",D$2:D181)-SUMIF(B$2:B181,"Dépense",D$2:D181)</f>
        <v>0</v>
      </c>
    </row>
    <row r="182" spans="5:5" x14ac:dyDescent="0.35">
      <c r="E182">
        <f>SUMIF(B$2:B182,"Recette",D$2:D182)-SUMIF(B$2:B182,"Dépense",D$2:D182)</f>
        <v>0</v>
      </c>
    </row>
    <row r="183" spans="5:5" x14ac:dyDescent="0.35">
      <c r="E183">
        <f>SUMIF(B$2:B183,"Recette",D$2:D183)-SUMIF(B$2:B183,"Dépense",D$2:D183)</f>
        <v>0</v>
      </c>
    </row>
    <row r="184" spans="5:5" x14ac:dyDescent="0.35">
      <c r="E184">
        <f>SUMIF(B$2:B184,"Recette",D$2:D184)-SUMIF(B$2:B184,"Dépense",D$2:D184)</f>
        <v>0</v>
      </c>
    </row>
    <row r="185" spans="5:5" x14ac:dyDescent="0.35">
      <c r="E185">
        <f>SUMIF(B$2:B185,"Recette",D$2:D185)-SUMIF(B$2:B185,"Dépense",D$2:D185)</f>
        <v>0</v>
      </c>
    </row>
    <row r="186" spans="5:5" x14ac:dyDescent="0.35">
      <c r="E186">
        <f>SUMIF(B$2:B186,"Recette",D$2:D186)-SUMIF(B$2:B186,"Dépense",D$2:D186)</f>
        <v>0</v>
      </c>
    </row>
    <row r="187" spans="5:5" x14ac:dyDescent="0.35">
      <c r="E187">
        <f>SUMIF(B$2:B187,"Recette",D$2:D187)-SUMIF(B$2:B187,"Dépense",D$2:D187)</f>
        <v>0</v>
      </c>
    </row>
    <row r="188" spans="5:5" x14ac:dyDescent="0.35">
      <c r="E188">
        <f>SUMIF(B$2:B188,"Recette",D$2:D188)-SUMIF(B$2:B188,"Dépense",D$2:D188)</f>
        <v>0</v>
      </c>
    </row>
    <row r="189" spans="5:5" x14ac:dyDescent="0.35">
      <c r="E189">
        <f>SUMIF(B$2:B189,"Recette",D$2:D189)-SUMIF(B$2:B189,"Dépense",D$2:D189)</f>
        <v>0</v>
      </c>
    </row>
    <row r="190" spans="5:5" x14ac:dyDescent="0.35">
      <c r="E190">
        <f>SUMIF(B$2:B190,"Recette",D$2:D190)-SUMIF(B$2:B190,"Dépense",D$2:D190)</f>
        <v>0</v>
      </c>
    </row>
    <row r="191" spans="5:5" x14ac:dyDescent="0.35">
      <c r="E191">
        <f>SUMIF(B$2:B191,"Recette",D$2:D191)-SUMIF(B$2:B191,"Dépense",D$2:D191)</f>
        <v>0</v>
      </c>
    </row>
    <row r="192" spans="5:5" x14ac:dyDescent="0.35">
      <c r="E192">
        <f>SUMIF(B$2:B192,"Recette",D$2:D192)-SUMIF(B$2:B192,"Dépense",D$2:D192)</f>
        <v>0</v>
      </c>
    </row>
    <row r="193" spans="5:5" x14ac:dyDescent="0.35">
      <c r="E193">
        <f>SUMIF(B$2:B193,"Recette",D$2:D193)-SUMIF(B$2:B193,"Dépense",D$2:D193)</f>
        <v>0</v>
      </c>
    </row>
    <row r="194" spans="5:5" x14ac:dyDescent="0.35">
      <c r="E194">
        <f>SUMIF(B$2:B194,"Recette",D$2:D194)-SUMIF(B$2:B194,"Dépense",D$2:D194)</f>
        <v>0</v>
      </c>
    </row>
    <row r="195" spans="5:5" x14ac:dyDescent="0.35">
      <c r="E195">
        <f>SUMIF(B$2:B195,"Recette",D$2:D195)-SUMIF(B$2:B195,"Dépense",D$2:D195)</f>
        <v>0</v>
      </c>
    </row>
    <row r="196" spans="5:5" x14ac:dyDescent="0.35">
      <c r="E196">
        <f>SUMIF(B$2:B196,"Recette",D$2:D196)-SUMIF(B$2:B196,"Dépense",D$2:D196)</f>
        <v>0</v>
      </c>
    </row>
    <row r="197" spans="5:5" x14ac:dyDescent="0.35">
      <c r="E197">
        <f>SUMIF(B$2:B197,"Recette",D$2:D197)-SUMIF(B$2:B197,"Dépense",D$2:D197)</f>
        <v>0</v>
      </c>
    </row>
    <row r="198" spans="5:5" x14ac:dyDescent="0.35">
      <c r="E198">
        <f>SUMIF(B$2:B198,"Recette",D$2:D198)-SUMIF(B$2:B198,"Dépense",D$2:D198)</f>
        <v>0</v>
      </c>
    </row>
    <row r="199" spans="5:5" x14ac:dyDescent="0.35">
      <c r="E199">
        <f>SUMIF(B$2:B199,"Recette",D$2:D199)-SUMIF(B$2:B199,"Dépense",D$2:D199)</f>
        <v>0</v>
      </c>
    </row>
    <row r="200" spans="5:5" x14ac:dyDescent="0.35">
      <c r="E200">
        <f>SUMIF(B$2:B200,"Recette",D$2:D200)-SUMIF(B$2:B200,"Dépense",D$2:D200)</f>
        <v>0</v>
      </c>
    </row>
    <row r="201" spans="5:5" x14ac:dyDescent="0.35">
      <c r="E201">
        <f>SUMIF(B$2:B201,"Recette",D$2:D201)-SUMIF(B$2:B201,"Dépense",D$2:D201)</f>
        <v>0</v>
      </c>
    </row>
    <row r="202" spans="5:5" x14ac:dyDescent="0.35">
      <c r="E202">
        <f>SUMIF(B$2:B202,"Recette",D$2:D202)-SUMIF(B$2:B202,"Dépense",D$2:D202)</f>
        <v>0</v>
      </c>
    </row>
    <row r="203" spans="5:5" x14ac:dyDescent="0.35">
      <c r="E203">
        <f>SUMIF(B$2:B203,"Recette",D$2:D203)-SUMIF(B$2:B203,"Dépense",D$2:D203)</f>
        <v>0</v>
      </c>
    </row>
    <row r="204" spans="5:5" x14ac:dyDescent="0.35">
      <c r="E204">
        <f>SUMIF(B$2:B204,"Recette",D$2:D204)-SUMIF(B$2:B204,"Dépense",D$2:D204)</f>
        <v>0</v>
      </c>
    </row>
    <row r="205" spans="5:5" x14ac:dyDescent="0.35">
      <c r="E205">
        <f>SUMIF(B$2:B205,"Recette",D$2:D205)-SUMIF(B$2:B205,"Dépense",D$2:D205)</f>
        <v>0</v>
      </c>
    </row>
    <row r="206" spans="5:5" x14ac:dyDescent="0.35">
      <c r="E206">
        <f>SUMIF(B$2:B206,"Recette",D$2:D206)-SUMIF(B$2:B206,"Dépense",D$2:D206)</f>
        <v>0</v>
      </c>
    </row>
    <row r="207" spans="5:5" x14ac:dyDescent="0.35">
      <c r="E207">
        <f>SUMIF(B$2:B207,"Recette",D$2:D207)-SUMIF(B$2:B207,"Dépense",D$2:D207)</f>
        <v>0</v>
      </c>
    </row>
    <row r="208" spans="5:5" x14ac:dyDescent="0.35">
      <c r="E208">
        <f>SUMIF(B$2:B208,"Recette",D$2:D208)-SUMIF(B$2:B208,"Dépense",D$2:D208)</f>
        <v>0</v>
      </c>
    </row>
    <row r="209" spans="5:5" x14ac:dyDescent="0.35">
      <c r="E209">
        <f>SUMIF(B$2:B209,"Recette",D$2:D209)-SUMIF(B$2:B209,"Dépense",D$2:D209)</f>
        <v>0</v>
      </c>
    </row>
    <row r="210" spans="5:5" x14ac:dyDescent="0.35">
      <c r="E210">
        <f>SUMIF(B$2:B210,"Recette",D$2:D210)-SUMIF(B$2:B210,"Dépense",D$2:D210)</f>
        <v>0</v>
      </c>
    </row>
    <row r="211" spans="5:5" x14ac:dyDescent="0.35">
      <c r="E211">
        <f>SUMIF(B$2:B211,"Recette",D$2:D211)-SUMIF(B$2:B211,"Dépense",D$2:D211)</f>
        <v>0</v>
      </c>
    </row>
    <row r="212" spans="5:5" x14ac:dyDescent="0.35">
      <c r="E212">
        <f>SUMIF(B$2:B212,"Recette",D$2:D212)-SUMIF(B$2:B212,"Dépense",D$2:D212)</f>
        <v>0</v>
      </c>
    </row>
    <row r="213" spans="5:5" x14ac:dyDescent="0.35">
      <c r="E213">
        <f>SUMIF(B$2:B213,"Recette",D$2:D213)-SUMIF(B$2:B213,"Dépense",D$2:D213)</f>
        <v>0</v>
      </c>
    </row>
    <row r="214" spans="5:5" x14ac:dyDescent="0.35">
      <c r="E214">
        <f>SUMIF(B$2:B214,"Recette",D$2:D214)-SUMIF(B$2:B214,"Dépense",D$2:D214)</f>
        <v>0</v>
      </c>
    </row>
    <row r="215" spans="5:5" x14ac:dyDescent="0.35">
      <c r="E215">
        <f>SUMIF(B$2:B215,"Recette",D$2:D215)-SUMIF(B$2:B215,"Dépense",D$2:D215)</f>
        <v>0</v>
      </c>
    </row>
    <row r="216" spans="5:5" x14ac:dyDescent="0.35">
      <c r="E216">
        <f>SUMIF(B$2:B216,"Recette",D$2:D216)-SUMIF(B$2:B216,"Dépense",D$2:D216)</f>
        <v>0</v>
      </c>
    </row>
    <row r="217" spans="5:5" x14ac:dyDescent="0.35">
      <c r="E217">
        <f>SUMIF(B$2:B217,"Recette",D$2:D217)-SUMIF(B$2:B217,"Dépense",D$2:D217)</f>
        <v>0</v>
      </c>
    </row>
    <row r="218" spans="5:5" x14ac:dyDescent="0.35">
      <c r="E218">
        <f>SUMIF(B$2:B218,"Recette",D$2:D218)-SUMIF(B$2:B218,"Dépense",D$2:D218)</f>
        <v>0</v>
      </c>
    </row>
    <row r="219" spans="5:5" x14ac:dyDescent="0.35">
      <c r="E219">
        <f>SUMIF(B$2:B219,"Recette",D$2:D219)-SUMIF(B$2:B219,"Dépense",D$2:D219)</f>
        <v>0</v>
      </c>
    </row>
    <row r="220" spans="5:5" x14ac:dyDescent="0.35">
      <c r="E220">
        <f>SUMIF(B$2:B220,"Recette",D$2:D220)-SUMIF(B$2:B220,"Dépense",D$2:D220)</f>
        <v>0</v>
      </c>
    </row>
    <row r="221" spans="5:5" x14ac:dyDescent="0.35">
      <c r="E221">
        <f>SUMIF(B$2:B221,"Recette",D$2:D221)-SUMIF(B$2:B221,"Dépense",D$2:D221)</f>
        <v>0</v>
      </c>
    </row>
    <row r="222" spans="5:5" x14ac:dyDescent="0.35">
      <c r="E222">
        <f>SUMIF(B$2:B222,"Recette",D$2:D222)-SUMIF(B$2:B222,"Dépense",D$2:D222)</f>
        <v>0</v>
      </c>
    </row>
    <row r="223" spans="5:5" x14ac:dyDescent="0.35">
      <c r="E223">
        <f>SUMIF(B$2:B223,"Recette",D$2:D223)-SUMIF(B$2:B223,"Dépense",D$2:D223)</f>
        <v>0</v>
      </c>
    </row>
    <row r="224" spans="5:5" x14ac:dyDescent="0.35">
      <c r="E224">
        <f>SUMIF(B$2:B224,"Recette",D$2:D224)-SUMIF(B$2:B224,"Dépense",D$2:D224)</f>
        <v>0</v>
      </c>
    </row>
    <row r="225" spans="5:5" x14ac:dyDescent="0.35">
      <c r="E225">
        <f>SUMIF(B$2:B225,"Recette",D$2:D225)-SUMIF(B$2:B225,"Dépense",D$2:D225)</f>
        <v>0</v>
      </c>
    </row>
    <row r="226" spans="5:5" x14ac:dyDescent="0.35">
      <c r="E226">
        <f>SUMIF(B$2:B226,"Recette",D$2:D226)-SUMIF(B$2:B226,"Dépense",D$2:D226)</f>
        <v>0</v>
      </c>
    </row>
    <row r="227" spans="5:5" x14ac:dyDescent="0.35">
      <c r="E227">
        <f>SUMIF(B$2:B227,"Recette",D$2:D227)-SUMIF(B$2:B227,"Dépense",D$2:D227)</f>
        <v>0</v>
      </c>
    </row>
    <row r="228" spans="5:5" x14ac:dyDescent="0.35">
      <c r="E228">
        <f>SUMIF(B$2:B228,"Recette",D$2:D228)-SUMIF(B$2:B228,"Dépense",D$2:D228)</f>
        <v>0</v>
      </c>
    </row>
    <row r="229" spans="5:5" x14ac:dyDescent="0.35">
      <c r="E229">
        <f>SUMIF(B$2:B229,"Recette",D$2:D229)-SUMIF(B$2:B229,"Dépense",D$2:D229)</f>
        <v>0</v>
      </c>
    </row>
    <row r="230" spans="5:5" x14ac:dyDescent="0.35">
      <c r="E230">
        <f>SUMIF(B$2:B230,"Recette",D$2:D230)-SUMIF(B$2:B230,"Dépense",D$2:D230)</f>
        <v>0</v>
      </c>
    </row>
    <row r="231" spans="5:5" x14ac:dyDescent="0.35">
      <c r="E231">
        <f>SUMIF(B$2:B231,"Recette",D$2:D231)-SUMIF(B$2:B231,"Dépense",D$2:D231)</f>
        <v>0</v>
      </c>
    </row>
    <row r="232" spans="5:5" x14ac:dyDescent="0.35">
      <c r="E232">
        <f>SUMIF(B$2:B232,"Recette",D$2:D232)-SUMIF(B$2:B232,"Dépense",D$2:D232)</f>
        <v>0</v>
      </c>
    </row>
    <row r="233" spans="5:5" x14ac:dyDescent="0.35">
      <c r="E233">
        <f>SUMIF(B$2:B233,"Recette",D$2:D233)-SUMIF(B$2:B233,"Dépense",D$2:D233)</f>
        <v>0</v>
      </c>
    </row>
    <row r="234" spans="5:5" x14ac:dyDescent="0.35">
      <c r="E234">
        <f>SUMIF(B$2:B234,"Recette",D$2:D234)-SUMIF(B$2:B234,"Dépense",D$2:D234)</f>
        <v>0</v>
      </c>
    </row>
    <row r="235" spans="5:5" x14ac:dyDescent="0.35">
      <c r="E235">
        <f>SUMIF(B$2:B235,"Recette",D$2:D235)-SUMIF(B$2:B235,"Dépense",D$2:D235)</f>
        <v>0</v>
      </c>
    </row>
    <row r="236" spans="5:5" x14ac:dyDescent="0.35">
      <c r="E236">
        <f>SUMIF(B$2:B236,"Recette",D$2:D236)-SUMIF(B$2:B236,"Dépense",D$2:D236)</f>
        <v>0</v>
      </c>
    </row>
    <row r="237" spans="5:5" x14ac:dyDescent="0.35">
      <c r="E237">
        <f>SUMIF(B$2:B237,"Recette",D$2:D237)-SUMIF(B$2:B237,"Dépense",D$2:D237)</f>
        <v>0</v>
      </c>
    </row>
    <row r="238" spans="5:5" x14ac:dyDescent="0.35">
      <c r="E238">
        <f>SUMIF(B$2:B238,"Recette",D$2:D238)-SUMIF(B$2:B238,"Dépense",D$2:D238)</f>
        <v>0</v>
      </c>
    </row>
    <row r="239" spans="5:5" x14ac:dyDescent="0.35">
      <c r="E239">
        <f>SUMIF(B$2:B239,"Recette",D$2:D239)-SUMIF(B$2:B239,"Dépense",D$2:D239)</f>
        <v>0</v>
      </c>
    </row>
    <row r="240" spans="5:5" x14ac:dyDescent="0.35">
      <c r="E240">
        <f>SUMIF(B$2:B240,"Recette",D$2:D240)-SUMIF(B$2:B240,"Dépense",D$2:D240)</f>
        <v>0</v>
      </c>
    </row>
    <row r="241" spans="5:5" x14ac:dyDescent="0.35">
      <c r="E241">
        <f>SUMIF(B$2:B241,"Recette",D$2:D241)-SUMIF(B$2:B241,"Dépense",D$2:D241)</f>
        <v>0</v>
      </c>
    </row>
    <row r="242" spans="5:5" x14ac:dyDescent="0.35">
      <c r="E242">
        <f>SUMIF(B$2:B242,"Recette",D$2:D242)-SUMIF(B$2:B242,"Dépense",D$2:D242)</f>
        <v>0</v>
      </c>
    </row>
    <row r="243" spans="5:5" x14ac:dyDescent="0.35">
      <c r="E243">
        <f>SUMIF(B$2:B243,"Recette",D$2:D243)-SUMIF(B$2:B243,"Dépense",D$2:D243)</f>
        <v>0</v>
      </c>
    </row>
    <row r="244" spans="5:5" x14ac:dyDescent="0.35">
      <c r="E244">
        <f>SUMIF(B$2:B244,"Recette",D$2:D244)-SUMIF(B$2:B244,"Dépense",D$2:D244)</f>
        <v>0</v>
      </c>
    </row>
    <row r="245" spans="5:5" x14ac:dyDescent="0.35">
      <c r="E245">
        <f>SUMIF(B$2:B245,"Recette",D$2:D245)-SUMIF(B$2:B245,"Dépense",D$2:D245)</f>
        <v>0</v>
      </c>
    </row>
    <row r="246" spans="5:5" x14ac:dyDescent="0.35">
      <c r="E246">
        <f>SUMIF(B$2:B246,"Recette",D$2:D246)-SUMIF(B$2:B246,"Dépense",D$2:D246)</f>
        <v>0</v>
      </c>
    </row>
    <row r="247" spans="5:5" x14ac:dyDescent="0.35">
      <c r="E247">
        <f>SUMIF(B$2:B247,"Recette",D$2:D247)-SUMIF(B$2:B247,"Dépense",D$2:D247)</f>
        <v>0</v>
      </c>
    </row>
    <row r="248" spans="5:5" x14ac:dyDescent="0.35">
      <c r="E248">
        <f>SUMIF(B$2:B248,"Recette",D$2:D248)-SUMIF(B$2:B248,"Dépense",D$2:D248)</f>
        <v>0</v>
      </c>
    </row>
    <row r="249" spans="5:5" x14ac:dyDescent="0.35">
      <c r="E249">
        <f>SUMIF(B$2:B249,"Recette",D$2:D249)-SUMIF(B$2:B249,"Dépense",D$2:D249)</f>
        <v>0</v>
      </c>
    </row>
    <row r="250" spans="5:5" x14ac:dyDescent="0.35">
      <c r="E250">
        <f>SUMIF(B$2:B250,"Recette",D$2:D250)-SUMIF(B$2:B250,"Dépense",D$2:D250)</f>
        <v>0</v>
      </c>
    </row>
    <row r="251" spans="5:5" x14ac:dyDescent="0.35">
      <c r="E251">
        <f>SUMIF(B$2:B251,"Recette",D$2:D251)-SUMIF(B$2:B251,"Dépense",D$2:D251)</f>
        <v>0</v>
      </c>
    </row>
    <row r="252" spans="5:5" x14ac:dyDescent="0.35">
      <c r="E252">
        <f>SUMIF(B$2:B252,"Recette",D$2:D252)-SUMIF(B$2:B252,"Dépense",D$2:D252)</f>
        <v>0</v>
      </c>
    </row>
    <row r="253" spans="5:5" x14ac:dyDescent="0.35">
      <c r="E253">
        <f>SUMIF(B$2:B253,"Recette",D$2:D253)-SUMIF(B$2:B253,"Dépense",D$2:D253)</f>
        <v>0</v>
      </c>
    </row>
    <row r="254" spans="5:5" x14ac:dyDescent="0.35">
      <c r="E254">
        <f>SUMIF(B$2:B254,"Recette",D$2:D254)-SUMIF(B$2:B254,"Dépense",D$2:D254)</f>
        <v>0</v>
      </c>
    </row>
    <row r="255" spans="5:5" x14ac:dyDescent="0.35">
      <c r="E255">
        <f>SUMIF(B$2:B255,"Recette",D$2:D255)-SUMIF(B$2:B255,"Dépense",D$2:D255)</f>
        <v>0</v>
      </c>
    </row>
    <row r="256" spans="5:5" x14ac:dyDescent="0.35">
      <c r="E256">
        <f>SUMIF(B$2:B256,"Recette",D$2:D256)-SUMIF(B$2:B256,"Dépense",D$2:D256)</f>
        <v>0</v>
      </c>
    </row>
    <row r="257" spans="5:5" x14ac:dyDescent="0.35">
      <c r="E257">
        <f>SUMIF(B$2:B257,"Recette",D$2:D257)-SUMIF(B$2:B257,"Dépense",D$2:D257)</f>
        <v>0</v>
      </c>
    </row>
    <row r="258" spans="5:5" x14ac:dyDescent="0.35">
      <c r="E258">
        <f>SUMIF(B$2:B258,"Recette",D$2:D258)-SUMIF(B$2:B258,"Dépense",D$2:D258)</f>
        <v>0</v>
      </c>
    </row>
    <row r="259" spans="5:5" x14ac:dyDescent="0.35">
      <c r="E259">
        <f>SUMIF(B$2:B259,"Recette",D$2:D259)-SUMIF(B$2:B259,"Dépense",D$2:D259)</f>
        <v>0</v>
      </c>
    </row>
    <row r="260" spans="5:5" x14ac:dyDescent="0.35">
      <c r="E260">
        <f>SUMIF(B$2:B260,"Recette",D$2:D260)-SUMIF(B$2:B260,"Dépense",D$2:D260)</f>
        <v>0</v>
      </c>
    </row>
    <row r="261" spans="5:5" x14ac:dyDescent="0.35">
      <c r="E261">
        <f>SUMIF(B$2:B261,"Recette",D$2:D261)-SUMIF(B$2:B261,"Dépense",D$2:D261)</f>
        <v>0</v>
      </c>
    </row>
    <row r="262" spans="5:5" x14ac:dyDescent="0.35">
      <c r="E262">
        <f>SUMIF(B$2:B262,"Recette",D$2:D262)-SUMIF(B$2:B262,"Dépense",D$2:D262)</f>
        <v>0</v>
      </c>
    </row>
    <row r="263" spans="5:5" x14ac:dyDescent="0.35">
      <c r="E263">
        <f>SUMIF(B$2:B263,"Recette",D$2:D263)-SUMIF(B$2:B263,"Dépense",D$2:D263)</f>
        <v>0</v>
      </c>
    </row>
    <row r="264" spans="5:5" x14ac:dyDescent="0.35">
      <c r="E264">
        <f>SUMIF(B$2:B264,"Recette",D$2:D264)-SUMIF(B$2:B264,"Dépense",D$2:D264)</f>
        <v>0</v>
      </c>
    </row>
    <row r="265" spans="5:5" x14ac:dyDescent="0.35">
      <c r="E265">
        <f>SUMIF(B$2:B265,"Recette",D$2:D265)-SUMIF(B$2:B265,"Dépense",D$2:D265)</f>
        <v>0</v>
      </c>
    </row>
    <row r="266" spans="5:5" x14ac:dyDescent="0.35">
      <c r="E266">
        <f>SUMIF(B$2:B266,"Recette",D$2:D266)-SUMIF(B$2:B266,"Dépense",D$2:D266)</f>
        <v>0</v>
      </c>
    </row>
    <row r="267" spans="5:5" x14ac:dyDescent="0.35">
      <c r="E267">
        <f>SUMIF(B$2:B267,"Recette",D$2:D267)-SUMIF(B$2:B267,"Dépense",D$2:D267)</f>
        <v>0</v>
      </c>
    </row>
    <row r="268" spans="5:5" x14ac:dyDescent="0.35">
      <c r="E268">
        <f>SUMIF(B$2:B268,"Recette",D$2:D268)-SUMIF(B$2:B268,"Dépense",D$2:D268)</f>
        <v>0</v>
      </c>
    </row>
    <row r="269" spans="5:5" x14ac:dyDescent="0.35">
      <c r="E269">
        <f>SUMIF(B$2:B269,"Recette",D$2:D269)-SUMIF(B$2:B269,"Dépense",D$2:D269)</f>
        <v>0</v>
      </c>
    </row>
    <row r="270" spans="5:5" x14ac:dyDescent="0.35">
      <c r="E270">
        <f>SUMIF(B$2:B270,"Recette",D$2:D270)-SUMIF(B$2:B270,"Dépense",D$2:D270)</f>
        <v>0</v>
      </c>
    </row>
    <row r="271" spans="5:5" x14ac:dyDescent="0.35">
      <c r="E271">
        <f>SUMIF(B$2:B271,"Recette",D$2:D271)-SUMIF(B$2:B271,"Dépense",D$2:D271)</f>
        <v>0</v>
      </c>
    </row>
    <row r="272" spans="5:5" x14ac:dyDescent="0.35">
      <c r="E272">
        <f>SUMIF(B$2:B272,"Recette",D$2:D272)-SUMIF(B$2:B272,"Dépense",D$2:D272)</f>
        <v>0</v>
      </c>
    </row>
    <row r="273" spans="5:5" x14ac:dyDescent="0.35">
      <c r="E273">
        <f>SUMIF(B$2:B273,"Recette",D$2:D273)-SUMIF(B$2:B273,"Dépense",D$2:D273)</f>
        <v>0</v>
      </c>
    </row>
    <row r="274" spans="5:5" x14ac:dyDescent="0.35">
      <c r="E274">
        <f>SUMIF(B$2:B274,"Recette",D$2:D274)-SUMIF(B$2:B274,"Dépense",D$2:D274)</f>
        <v>0</v>
      </c>
    </row>
    <row r="275" spans="5:5" x14ac:dyDescent="0.35">
      <c r="E275">
        <f>SUMIF(B$2:B275,"Recette",D$2:D275)-SUMIF(B$2:B275,"Dépense",D$2:D275)</f>
        <v>0</v>
      </c>
    </row>
    <row r="276" spans="5:5" x14ac:dyDescent="0.35">
      <c r="E276">
        <f>SUMIF(B$2:B276,"Recette",D$2:D276)-SUMIF(B$2:B276,"Dépense",D$2:D276)</f>
        <v>0</v>
      </c>
    </row>
    <row r="277" spans="5:5" x14ac:dyDescent="0.35">
      <c r="E277">
        <f>SUMIF(B$2:B277,"Recette",D$2:D277)-SUMIF(B$2:B277,"Dépense",D$2:D277)</f>
        <v>0</v>
      </c>
    </row>
    <row r="278" spans="5:5" x14ac:dyDescent="0.35">
      <c r="E278">
        <f>SUMIF(B$2:B278,"Recette",D$2:D278)-SUMIF(B$2:B278,"Dépense",D$2:D278)</f>
        <v>0</v>
      </c>
    </row>
    <row r="279" spans="5:5" x14ac:dyDescent="0.35">
      <c r="E279">
        <f>SUMIF(B$2:B279,"Recette",D$2:D279)-SUMIF(B$2:B279,"Dépense",D$2:D279)</f>
        <v>0</v>
      </c>
    </row>
    <row r="280" spans="5:5" x14ac:dyDescent="0.35">
      <c r="E280">
        <f>SUMIF(B$2:B280,"Recette",D$2:D280)-SUMIF(B$2:B280,"Dépense",D$2:D280)</f>
        <v>0</v>
      </c>
    </row>
    <row r="281" spans="5:5" x14ac:dyDescent="0.35">
      <c r="E281">
        <f>SUMIF(B$2:B281,"Recette",D$2:D281)-SUMIF(B$2:B281,"Dépense",D$2:D281)</f>
        <v>0</v>
      </c>
    </row>
    <row r="282" spans="5:5" x14ac:dyDescent="0.35">
      <c r="E282">
        <f>SUMIF(B$2:B282,"Recette",D$2:D282)-SUMIF(B$2:B282,"Dépense",D$2:D282)</f>
        <v>0</v>
      </c>
    </row>
    <row r="283" spans="5:5" x14ac:dyDescent="0.35">
      <c r="E283">
        <f>SUMIF(B$2:B283,"Recette",D$2:D283)-SUMIF(B$2:B283,"Dépense",D$2:D283)</f>
        <v>0</v>
      </c>
    </row>
    <row r="284" spans="5:5" x14ac:dyDescent="0.35">
      <c r="E284">
        <f>SUMIF(B$2:B284,"Recette",D$2:D284)-SUMIF(B$2:B284,"Dépense",D$2:D284)</f>
        <v>0</v>
      </c>
    </row>
    <row r="285" spans="5:5" x14ac:dyDescent="0.35">
      <c r="E285">
        <f>SUMIF(B$2:B285,"Recette",D$2:D285)-SUMIF(B$2:B285,"Dépense",D$2:D285)</f>
        <v>0</v>
      </c>
    </row>
    <row r="286" spans="5:5" x14ac:dyDescent="0.35">
      <c r="E286">
        <f>SUMIF(B$2:B286,"Recette",D$2:D286)-SUMIF(B$2:B286,"Dépense",D$2:D286)</f>
        <v>0</v>
      </c>
    </row>
    <row r="287" spans="5:5" x14ac:dyDescent="0.35">
      <c r="E287">
        <f>SUMIF(B$2:B287,"Recette",D$2:D287)-SUMIF(B$2:B287,"Dépense",D$2:D287)</f>
        <v>0</v>
      </c>
    </row>
    <row r="288" spans="5:5" x14ac:dyDescent="0.35">
      <c r="E288">
        <f>SUMIF(B$2:B288,"Recette",D$2:D288)-SUMIF(B$2:B288,"Dépense",D$2:D288)</f>
        <v>0</v>
      </c>
    </row>
    <row r="289" spans="5:5" x14ac:dyDescent="0.35">
      <c r="E289">
        <f>SUMIF(B$2:B289,"Recette",D$2:D289)-SUMIF(B$2:B289,"Dépense",D$2:D289)</f>
        <v>0</v>
      </c>
    </row>
    <row r="290" spans="5:5" x14ac:dyDescent="0.35">
      <c r="E290">
        <f>SUMIF(B$2:B290,"Recette",D$2:D290)-SUMIF(B$2:B290,"Dépense",D$2:D290)</f>
        <v>0</v>
      </c>
    </row>
    <row r="291" spans="5:5" x14ac:dyDescent="0.35">
      <c r="E291">
        <f>SUMIF(B$2:B291,"Recette",D$2:D291)-SUMIF(B$2:B291,"Dépense",D$2:D291)</f>
        <v>0</v>
      </c>
    </row>
    <row r="292" spans="5:5" x14ac:dyDescent="0.35">
      <c r="E292">
        <f>SUMIF(B$2:B292,"Recette",D$2:D292)-SUMIF(B$2:B292,"Dépense",D$2:D292)</f>
        <v>0</v>
      </c>
    </row>
    <row r="293" spans="5:5" x14ac:dyDescent="0.35">
      <c r="E293">
        <f>SUMIF(B$2:B293,"Recette",D$2:D293)-SUMIF(B$2:B293,"Dépense",D$2:D293)</f>
        <v>0</v>
      </c>
    </row>
    <row r="294" spans="5:5" x14ac:dyDescent="0.35">
      <c r="E294">
        <f>SUMIF(B$2:B294,"Recette",D$2:D294)-SUMIF(B$2:B294,"Dépense",D$2:D294)</f>
        <v>0</v>
      </c>
    </row>
    <row r="295" spans="5:5" x14ac:dyDescent="0.35">
      <c r="E295">
        <f>SUMIF(B$2:B295,"Recette",D$2:D295)-SUMIF(B$2:B295,"Dépense",D$2:D295)</f>
        <v>0</v>
      </c>
    </row>
    <row r="296" spans="5:5" x14ac:dyDescent="0.35">
      <c r="E296">
        <f>SUMIF(B$2:B296,"Recette",D$2:D296)-SUMIF(B$2:B296,"Dépense",D$2:D296)</f>
        <v>0</v>
      </c>
    </row>
    <row r="297" spans="5:5" x14ac:dyDescent="0.35">
      <c r="E297">
        <f>SUMIF(B$2:B297,"Recette",D$2:D297)-SUMIF(B$2:B297,"Dépense",D$2:D297)</f>
        <v>0</v>
      </c>
    </row>
    <row r="298" spans="5:5" x14ac:dyDescent="0.35">
      <c r="E298">
        <f>SUMIF(B$2:B298,"Recette",D$2:D298)-SUMIF(B$2:B298,"Dépense",D$2:D298)</f>
        <v>0</v>
      </c>
    </row>
    <row r="299" spans="5:5" x14ac:dyDescent="0.35">
      <c r="E299">
        <f>SUMIF(B$2:B299,"Recette",D$2:D299)-SUMIF(B$2:B299,"Dépense",D$2:D299)</f>
        <v>0</v>
      </c>
    </row>
    <row r="300" spans="5:5" x14ac:dyDescent="0.35">
      <c r="E300">
        <f>SUMIF(B$2:B300,"Recette",D$2:D300)-SUMIF(B$2:B300,"Dépense",D$2:D300)</f>
        <v>0</v>
      </c>
    </row>
    <row r="301" spans="5:5" x14ac:dyDescent="0.35">
      <c r="E301">
        <f>SUMIF(B$2:B301,"Recette",D$2:D301)-SUMIF(B$2:B301,"Dépense",D$2:D301)</f>
        <v>0</v>
      </c>
    </row>
    <row r="302" spans="5:5" x14ac:dyDescent="0.35">
      <c r="E302">
        <f>SUMIF(B$2:B302,"Recette",D$2:D302)-SUMIF(B$2:B302,"Dépense",D$2:D302)</f>
        <v>0</v>
      </c>
    </row>
    <row r="303" spans="5:5" x14ac:dyDescent="0.35">
      <c r="E303">
        <f>SUMIF(B$2:B303,"Recette",D$2:D303)-SUMIF(B$2:B303,"Dépense",D$2:D303)</f>
        <v>0</v>
      </c>
    </row>
    <row r="304" spans="5:5" x14ac:dyDescent="0.35">
      <c r="E304">
        <f>SUMIF(B$2:B304,"Recette",D$2:D304)-SUMIF(B$2:B304,"Dépense",D$2:D304)</f>
        <v>0</v>
      </c>
    </row>
    <row r="305" spans="5:5" x14ac:dyDescent="0.35">
      <c r="E305">
        <f>SUMIF(B$2:B305,"Recette",D$2:D305)-SUMIF(B$2:B305,"Dépense",D$2:D305)</f>
        <v>0</v>
      </c>
    </row>
    <row r="306" spans="5:5" x14ac:dyDescent="0.35">
      <c r="E306">
        <f>SUMIF(B$2:B306,"Recette",D$2:D306)-SUMIF(B$2:B306,"Dépense",D$2:D306)</f>
        <v>0</v>
      </c>
    </row>
    <row r="307" spans="5:5" x14ac:dyDescent="0.35">
      <c r="E307">
        <f>SUMIF(B$2:B307,"Recette",D$2:D307)-SUMIF(B$2:B307,"Dépense",D$2:D307)</f>
        <v>0</v>
      </c>
    </row>
    <row r="308" spans="5:5" x14ac:dyDescent="0.35">
      <c r="E308">
        <f>SUMIF(B$2:B308,"Recette",D$2:D308)-SUMIF(B$2:B308,"Dépense",D$2:D308)</f>
        <v>0</v>
      </c>
    </row>
    <row r="309" spans="5:5" x14ac:dyDescent="0.35">
      <c r="E309">
        <f>SUMIF(B$2:B309,"Recette",D$2:D309)-SUMIF(B$2:B309,"Dépense",D$2:D309)</f>
        <v>0</v>
      </c>
    </row>
    <row r="310" spans="5:5" x14ac:dyDescent="0.35">
      <c r="E310">
        <f>SUMIF(B$2:B310,"Recette",D$2:D310)-SUMIF(B$2:B310,"Dépense",D$2:D310)</f>
        <v>0</v>
      </c>
    </row>
    <row r="311" spans="5:5" x14ac:dyDescent="0.35">
      <c r="E311">
        <f>SUMIF(B$2:B311,"Recette",D$2:D311)-SUMIF(B$2:B311,"Dépense",D$2:D311)</f>
        <v>0</v>
      </c>
    </row>
    <row r="312" spans="5:5" x14ac:dyDescent="0.35">
      <c r="E312">
        <f>SUMIF(B$2:B312,"Recette",D$2:D312)-SUMIF(B$2:B312,"Dépense",D$2:D312)</f>
        <v>0</v>
      </c>
    </row>
    <row r="313" spans="5:5" x14ac:dyDescent="0.35">
      <c r="E313">
        <f>SUMIF(B$2:B313,"Recette",D$2:D313)-SUMIF(B$2:B313,"Dépense",D$2:D313)</f>
        <v>0</v>
      </c>
    </row>
    <row r="314" spans="5:5" x14ac:dyDescent="0.35">
      <c r="E314">
        <f>SUMIF(B$2:B314,"Recette",D$2:D314)-SUMIF(B$2:B314,"Dépense",D$2:D314)</f>
        <v>0</v>
      </c>
    </row>
    <row r="315" spans="5:5" x14ac:dyDescent="0.35">
      <c r="E315">
        <f>SUMIF(B$2:B315,"Recette",D$2:D315)-SUMIF(B$2:B315,"Dépense",D$2:D315)</f>
        <v>0</v>
      </c>
    </row>
    <row r="316" spans="5:5" x14ac:dyDescent="0.35">
      <c r="E316">
        <f>SUMIF(B$2:B316,"Recette",D$2:D316)-SUMIF(B$2:B316,"Dépense",D$2:D316)</f>
        <v>0</v>
      </c>
    </row>
    <row r="317" spans="5:5" x14ac:dyDescent="0.35">
      <c r="E317">
        <f>SUMIF(B$2:B317,"Recette",D$2:D317)-SUMIF(B$2:B317,"Dépense",D$2:D317)</f>
        <v>0</v>
      </c>
    </row>
    <row r="318" spans="5:5" x14ac:dyDescent="0.35">
      <c r="E318">
        <f>SUMIF(B$2:B318,"Recette",D$2:D318)-SUMIF(B$2:B318,"Dépense",D$2:D318)</f>
        <v>0</v>
      </c>
    </row>
    <row r="319" spans="5:5" x14ac:dyDescent="0.35">
      <c r="E319">
        <f>SUMIF(B$2:B319,"Recette",D$2:D319)-SUMIF(B$2:B319,"Dépense",D$2:D319)</f>
        <v>0</v>
      </c>
    </row>
    <row r="320" spans="5:5" x14ac:dyDescent="0.35">
      <c r="E320">
        <f>SUMIF(B$2:B320,"Recette",D$2:D320)-SUMIF(B$2:B320,"Dépense",D$2:D320)</f>
        <v>0</v>
      </c>
    </row>
    <row r="321" spans="5:5" x14ac:dyDescent="0.35">
      <c r="E321">
        <f>SUMIF(B$2:B321,"Recette",D$2:D321)-SUMIF(B$2:B321,"Dépense",D$2:D321)</f>
        <v>0</v>
      </c>
    </row>
    <row r="322" spans="5:5" x14ac:dyDescent="0.35">
      <c r="E322">
        <f>SUMIF(B$2:B322,"Recette",D$2:D322)-SUMIF(B$2:B322,"Dépense",D$2:D322)</f>
        <v>0</v>
      </c>
    </row>
    <row r="323" spans="5:5" x14ac:dyDescent="0.35">
      <c r="E323">
        <f>SUMIF(B$2:B323,"Recette",D$2:D323)-SUMIF(B$2:B323,"Dépense",D$2:D323)</f>
        <v>0</v>
      </c>
    </row>
    <row r="324" spans="5:5" x14ac:dyDescent="0.35">
      <c r="E324">
        <f>SUMIF(B$2:B324,"Recette",D$2:D324)-SUMIF(B$2:B324,"Dépense",D$2:D324)</f>
        <v>0</v>
      </c>
    </row>
    <row r="325" spans="5:5" x14ac:dyDescent="0.35">
      <c r="E325">
        <f>SUMIF(B$2:B325,"Recette",D$2:D325)-SUMIF(B$2:B325,"Dépense",D$2:D325)</f>
        <v>0</v>
      </c>
    </row>
    <row r="326" spans="5:5" x14ac:dyDescent="0.35">
      <c r="E326">
        <f>SUMIF(B$2:B326,"Recette",D$2:D326)-SUMIF(B$2:B326,"Dépense",D$2:D326)</f>
        <v>0</v>
      </c>
    </row>
    <row r="327" spans="5:5" x14ac:dyDescent="0.35">
      <c r="E327">
        <f>SUMIF(B$2:B327,"Recette",D$2:D327)-SUMIF(B$2:B327,"Dépense",D$2:D327)</f>
        <v>0</v>
      </c>
    </row>
    <row r="328" spans="5:5" x14ac:dyDescent="0.35">
      <c r="E328">
        <f>SUMIF(B$2:B328,"Recette",D$2:D328)-SUMIF(B$2:B328,"Dépense",D$2:D328)</f>
        <v>0</v>
      </c>
    </row>
    <row r="329" spans="5:5" x14ac:dyDescent="0.35">
      <c r="E329">
        <f>SUMIF(B$2:B329,"Recette",D$2:D329)-SUMIF(B$2:B329,"Dépense",D$2:D329)</f>
        <v>0</v>
      </c>
    </row>
    <row r="330" spans="5:5" x14ac:dyDescent="0.35">
      <c r="E330">
        <f>SUMIF(B$2:B330,"Recette",D$2:D330)-SUMIF(B$2:B330,"Dépense",D$2:D330)</f>
        <v>0</v>
      </c>
    </row>
    <row r="331" spans="5:5" x14ac:dyDescent="0.35">
      <c r="E331">
        <f>SUMIF(B$2:B331,"Recette",D$2:D331)-SUMIF(B$2:B331,"Dépense",D$2:D331)</f>
        <v>0</v>
      </c>
    </row>
    <row r="332" spans="5:5" x14ac:dyDescent="0.35">
      <c r="E332">
        <f>SUMIF(B$2:B332,"Recette",D$2:D332)-SUMIF(B$2:B332,"Dépense",D$2:D332)</f>
        <v>0</v>
      </c>
    </row>
    <row r="333" spans="5:5" x14ac:dyDescent="0.35">
      <c r="E333">
        <f>SUMIF(B$2:B333,"Recette",D$2:D333)-SUMIF(B$2:B333,"Dépense",D$2:D333)</f>
        <v>0</v>
      </c>
    </row>
    <row r="334" spans="5:5" x14ac:dyDescent="0.35">
      <c r="E334">
        <f>SUMIF(B$2:B334,"Recette",D$2:D334)-SUMIF(B$2:B334,"Dépense",D$2:D334)</f>
        <v>0</v>
      </c>
    </row>
    <row r="335" spans="5:5" x14ac:dyDescent="0.35">
      <c r="E335">
        <f>SUMIF(B$2:B335,"Recette",D$2:D335)-SUMIF(B$2:B335,"Dépense",D$2:D335)</f>
        <v>0</v>
      </c>
    </row>
    <row r="336" spans="5:5" x14ac:dyDescent="0.35">
      <c r="E336">
        <f>SUMIF(B$2:B336,"Recette",D$2:D336)-SUMIF(B$2:B336,"Dépense",D$2:D336)</f>
        <v>0</v>
      </c>
    </row>
    <row r="337" spans="5:5" x14ac:dyDescent="0.35">
      <c r="E337">
        <f>SUMIF(B$2:B337,"Recette",D$2:D337)-SUMIF(B$2:B337,"Dépense",D$2:D337)</f>
        <v>0</v>
      </c>
    </row>
    <row r="338" spans="5:5" x14ac:dyDescent="0.35">
      <c r="E338">
        <f>SUMIF(B$2:B338,"Recette",D$2:D338)-SUMIF(B$2:B338,"Dépense",D$2:D338)</f>
        <v>0</v>
      </c>
    </row>
    <row r="339" spans="5:5" x14ac:dyDescent="0.35">
      <c r="E339">
        <f>SUMIF(B$2:B339,"Recette",D$2:D339)-SUMIF(B$2:B339,"Dépense",D$2:D339)</f>
        <v>0</v>
      </c>
    </row>
    <row r="340" spans="5:5" x14ac:dyDescent="0.35">
      <c r="E340">
        <f>SUMIF(B$2:B340,"Recette",D$2:D340)-SUMIF(B$2:B340,"Dépense",D$2:D340)</f>
        <v>0</v>
      </c>
    </row>
    <row r="341" spans="5:5" x14ac:dyDescent="0.35">
      <c r="E341">
        <f>SUMIF(B$2:B341,"Recette",D$2:D341)-SUMIF(B$2:B341,"Dépense",D$2:D341)</f>
        <v>0</v>
      </c>
    </row>
    <row r="342" spans="5:5" x14ac:dyDescent="0.35">
      <c r="E342">
        <f>SUMIF(B$2:B342,"Recette",D$2:D342)-SUMIF(B$2:B342,"Dépense",D$2:D342)</f>
        <v>0</v>
      </c>
    </row>
    <row r="343" spans="5:5" x14ac:dyDescent="0.35">
      <c r="E343">
        <f>SUMIF(B$2:B343,"Recette",D$2:D343)-SUMIF(B$2:B343,"Dépense",D$2:D343)</f>
        <v>0</v>
      </c>
    </row>
    <row r="344" spans="5:5" x14ac:dyDescent="0.35">
      <c r="E344">
        <f>SUMIF(B$2:B344,"Recette",D$2:D344)-SUMIF(B$2:B344,"Dépense",D$2:D344)</f>
        <v>0</v>
      </c>
    </row>
    <row r="345" spans="5:5" x14ac:dyDescent="0.35">
      <c r="E345">
        <f>SUMIF(B$2:B345,"Recette",D$2:D345)-SUMIF(B$2:B345,"Dépense",D$2:D345)</f>
        <v>0</v>
      </c>
    </row>
    <row r="346" spans="5:5" x14ac:dyDescent="0.35">
      <c r="E346">
        <f>SUMIF(B$2:B346,"Recette",D$2:D346)-SUMIF(B$2:B346,"Dépense",D$2:D346)</f>
        <v>0</v>
      </c>
    </row>
    <row r="347" spans="5:5" x14ac:dyDescent="0.35">
      <c r="E347">
        <f>SUMIF(B$2:B347,"Recette",D$2:D347)-SUMIF(B$2:B347,"Dépense",D$2:D347)</f>
        <v>0</v>
      </c>
    </row>
    <row r="348" spans="5:5" x14ac:dyDescent="0.35">
      <c r="E348">
        <f>SUMIF(B$2:B348,"Recette",D$2:D348)-SUMIF(B$2:B348,"Dépense",D$2:D348)</f>
        <v>0</v>
      </c>
    </row>
    <row r="349" spans="5:5" x14ac:dyDescent="0.35">
      <c r="E349">
        <f>SUMIF(B$2:B349,"Recette",D$2:D349)-SUMIF(B$2:B349,"Dépense",D$2:D349)</f>
        <v>0</v>
      </c>
    </row>
    <row r="350" spans="5:5" x14ac:dyDescent="0.35">
      <c r="E350">
        <f>SUMIF(B$2:B350,"Recette",D$2:D350)-SUMIF(B$2:B350,"Dépense",D$2:D350)</f>
        <v>0</v>
      </c>
    </row>
    <row r="351" spans="5:5" x14ac:dyDescent="0.35">
      <c r="E351">
        <f>SUMIF(B$2:B351,"Recette",D$2:D351)-SUMIF(B$2:B351,"Dépense",D$2:D351)</f>
        <v>0</v>
      </c>
    </row>
    <row r="352" spans="5:5" x14ac:dyDescent="0.35">
      <c r="E352">
        <f>SUMIF(B$2:B352,"Recette",D$2:D352)-SUMIF(B$2:B352,"Dépense",D$2:D352)</f>
        <v>0</v>
      </c>
    </row>
    <row r="353" spans="5:5" x14ac:dyDescent="0.35">
      <c r="E353">
        <f>SUMIF(B$2:B353,"Recette",D$2:D353)-SUMIF(B$2:B353,"Dépense",D$2:D353)</f>
        <v>0</v>
      </c>
    </row>
    <row r="354" spans="5:5" x14ac:dyDescent="0.35">
      <c r="E354">
        <f>SUMIF(B$2:B354,"Recette",D$2:D354)-SUMIF(B$2:B354,"Dépense",D$2:D354)</f>
        <v>0</v>
      </c>
    </row>
    <row r="355" spans="5:5" x14ac:dyDescent="0.35">
      <c r="E355">
        <f>SUMIF(B$2:B355,"Recette",D$2:D355)-SUMIF(B$2:B355,"Dépense",D$2:D355)</f>
        <v>0</v>
      </c>
    </row>
    <row r="356" spans="5:5" x14ac:dyDescent="0.35">
      <c r="E356">
        <f>SUMIF(B$2:B356,"Recette",D$2:D356)-SUMIF(B$2:B356,"Dépense",D$2:D356)</f>
        <v>0</v>
      </c>
    </row>
    <row r="357" spans="5:5" x14ac:dyDescent="0.35">
      <c r="E357">
        <f>SUMIF(B$2:B357,"Recette",D$2:D357)-SUMIF(B$2:B357,"Dépense",D$2:D357)</f>
        <v>0</v>
      </c>
    </row>
    <row r="358" spans="5:5" x14ac:dyDescent="0.35">
      <c r="E358">
        <f>SUMIF(B$2:B358,"Recette",D$2:D358)-SUMIF(B$2:B358,"Dépense",D$2:D358)</f>
        <v>0</v>
      </c>
    </row>
    <row r="359" spans="5:5" x14ac:dyDescent="0.35">
      <c r="E359">
        <f>SUMIF(B$2:B359,"Recette",D$2:D359)-SUMIF(B$2:B359,"Dépense",D$2:D359)</f>
        <v>0</v>
      </c>
    </row>
    <row r="360" spans="5:5" x14ac:dyDescent="0.35">
      <c r="E360">
        <f>SUMIF(B$2:B360,"Recette",D$2:D360)-SUMIF(B$2:B360,"Dépense",D$2:D360)</f>
        <v>0</v>
      </c>
    </row>
    <row r="361" spans="5:5" x14ac:dyDescent="0.35">
      <c r="E361">
        <f>SUMIF(B$2:B361,"Recette",D$2:D361)-SUMIF(B$2:B361,"Dépense",D$2:D361)</f>
        <v>0</v>
      </c>
    </row>
    <row r="362" spans="5:5" x14ac:dyDescent="0.35">
      <c r="E362">
        <f>SUMIF(B$2:B362,"Recette",D$2:D362)-SUMIF(B$2:B362,"Dépense",D$2:D362)</f>
        <v>0</v>
      </c>
    </row>
    <row r="363" spans="5:5" x14ac:dyDescent="0.35">
      <c r="E363">
        <f>SUMIF(B$2:B363,"Recette",D$2:D363)-SUMIF(B$2:B363,"Dépense",D$2:D363)</f>
        <v>0</v>
      </c>
    </row>
    <row r="364" spans="5:5" x14ac:dyDescent="0.35">
      <c r="E364">
        <f>SUMIF(B$2:B364,"Recette",D$2:D364)-SUMIF(B$2:B364,"Dépense",D$2:D364)</f>
        <v>0</v>
      </c>
    </row>
    <row r="365" spans="5:5" x14ac:dyDescent="0.35">
      <c r="E365">
        <f>SUMIF(B$2:B365,"Recette",D$2:D365)-SUMIF(B$2:B365,"Dépense",D$2:D365)</f>
        <v>0</v>
      </c>
    </row>
    <row r="366" spans="5:5" x14ac:dyDescent="0.35">
      <c r="E366">
        <f>SUMIF(B$2:B366,"Recette",D$2:D366)-SUMIF(B$2:B366,"Dépense",D$2:D366)</f>
        <v>0</v>
      </c>
    </row>
    <row r="367" spans="5:5" x14ac:dyDescent="0.35">
      <c r="E367">
        <f>SUMIF(B$2:B367,"Recette",D$2:D367)-SUMIF(B$2:B367,"Dépense",D$2:D367)</f>
        <v>0</v>
      </c>
    </row>
    <row r="368" spans="5:5" x14ac:dyDescent="0.35">
      <c r="E368">
        <f>SUMIF(B$2:B368,"Recette",D$2:D368)-SUMIF(B$2:B368,"Dépense",D$2:D368)</f>
        <v>0</v>
      </c>
    </row>
    <row r="369" spans="5:5" x14ac:dyDescent="0.35">
      <c r="E369">
        <f>SUMIF(B$2:B369,"Recette",D$2:D369)-SUMIF(B$2:B369,"Dépense",D$2:D369)</f>
        <v>0</v>
      </c>
    </row>
    <row r="370" spans="5:5" x14ac:dyDescent="0.35">
      <c r="E370">
        <f>SUMIF(B$2:B370,"Recette",D$2:D370)-SUMIF(B$2:B370,"Dépense",D$2:D370)</f>
        <v>0</v>
      </c>
    </row>
    <row r="371" spans="5:5" x14ac:dyDescent="0.35">
      <c r="E371">
        <f>SUMIF(B$2:B371,"Recette",D$2:D371)-SUMIF(B$2:B371,"Dépense",D$2:D371)</f>
        <v>0</v>
      </c>
    </row>
    <row r="372" spans="5:5" x14ac:dyDescent="0.35">
      <c r="E372">
        <f>SUMIF(B$2:B372,"Recette",D$2:D372)-SUMIF(B$2:B372,"Dépense",D$2:D372)</f>
        <v>0</v>
      </c>
    </row>
    <row r="373" spans="5:5" x14ac:dyDescent="0.35">
      <c r="E373">
        <f>SUMIF(B$2:B373,"Recette",D$2:D373)-SUMIF(B$2:B373,"Dépense",D$2:D373)</f>
        <v>0</v>
      </c>
    </row>
    <row r="374" spans="5:5" x14ac:dyDescent="0.35">
      <c r="E374">
        <f>SUMIF(B$2:B374,"Recette",D$2:D374)-SUMIF(B$2:B374,"Dépense",D$2:D374)</f>
        <v>0</v>
      </c>
    </row>
    <row r="375" spans="5:5" x14ac:dyDescent="0.35">
      <c r="E375">
        <f>SUMIF(B$2:B375,"Recette",D$2:D375)-SUMIF(B$2:B375,"Dépense",D$2:D375)</f>
        <v>0</v>
      </c>
    </row>
    <row r="376" spans="5:5" x14ac:dyDescent="0.35">
      <c r="E376">
        <f>SUMIF(B$2:B376,"Recette",D$2:D376)-SUMIF(B$2:B376,"Dépense",D$2:D376)</f>
        <v>0</v>
      </c>
    </row>
    <row r="377" spans="5:5" x14ac:dyDescent="0.35">
      <c r="E377">
        <f>SUMIF(B$2:B377,"Recette",D$2:D377)-SUMIF(B$2:B377,"Dépense",D$2:D377)</f>
        <v>0</v>
      </c>
    </row>
    <row r="378" spans="5:5" x14ac:dyDescent="0.35">
      <c r="E378">
        <f>SUMIF(B$2:B378,"Recette",D$2:D378)-SUMIF(B$2:B378,"Dépense",D$2:D378)</f>
        <v>0</v>
      </c>
    </row>
    <row r="379" spans="5:5" x14ac:dyDescent="0.35">
      <c r="E379">
        <f>SUMIF(B$2:B379,"Recette",D$2:D379)-SUMIF(B$2:B379,"Dépense",D$2:D379)</f>
        <v>0</v>
      </c>
    </row>
    <row r="380" spans="5:5" x14ac:dyDescent="0.35">
      <c r="E380">
        <f>SUMIF(B$2:B380,"Recette",D$2:D380)-SUMIF(B$2:B380,"Dépense",D$2:D380)</f>
        <v>0</v>
      </c>
    </row>
    <row r="381" spans="5:5" x14ac:dyDescent="0.35">
      <c r="E381">
        <f>SUMIF(B$2:B381,"Recette",D$2:D381)-SUMIF(B$2:B381,"Dépense",D$2:D381)</f>
        <v>0</v>
      </c>
    </row>
    <row r="382" spans="5:5" x14ac:dyDescent="0.35">
      <c r="E382">
        <f>SUMIF(B$2:B382,"Recette",D$2:D382)-SUMIF(B$2:B382,"Dépense",D$2:D382)</f>
        <v>0</v>
      </c>
    </row>
    <row r="383" spans="5:5" x14ac:dyDescent="0.35">
      <c r="E383">
        <f>SUMIF(B$2:B383,"Recette",D$2:D383)-SUMIF(B$2:B383,"Dépense",D$2:D383)</f>
        <v>0</v>
      </c>
    </row>
    <row r="384" spans="5:5" x14ac:dyDescent="0.35">
      <c r="E384">
        <f>SUMIF(B$2:B384,"Recette",D$2:D384)-SUMIF(B$2:B384,"Dépense",D$2:D384)</f>
        <v>0</v>
      </c>
    </row>
    <row r="385" spans="5:5" x14ac:dyDescent="0.35">
      <c r="E385">
        <f>SUMIF(B$2:B385,"Recette",D$2:D385)-SUMIF(B$2:B385,"Dépense",D$2:D385)</f>
        <v>0</v>
      </c>
    </row>
    <row r="386" spans="5:5" x14ac:dyDescent="0.35">
      <c r="E386">
        <f>SUMIF(B$2:B386,"Recette",D$2:D386)-SUMIF(B$2:B386,"Dépense",D$2:D386)</f>
        <v>0</v>
      </c>
    </row>
    <row r="387" spans="5:5" x14ac:dyDescent="0.35">
      <c r="E387">
        <f>SUMIF(B$2:B387,"Recette",D$2:D387)-SUMIF(B$2:B387,"Dépense",D$2:D387)</f>
        <v>0</v>
      </c>
    </row>
    <row r="388" spans="5:5" x14ac:dyDescent="0.35">
      <c r="E388">
        <f>SUMIF(B$2:B388,"Recette",D$2:D388)-SUMIF(B$2:B388,"Dépense",D$2:D388)</f>
        <v>0</v>
      </c>
    </row>
    <row r="389" spans="5:5" x14ac:dyDescent="0.35">
      <c r="E389">
        <f>SUMIF(B$2:B389,"Recette",D$2:D389)-SUMIF(B$2:B389,"Dépense",D$2:D389)</f>
        <v>0</v>
      </c>
    </row>
    <row r="390" spans="5:5" x14ac:dyDescent="0.35">
      <c r="E390">
        <f>SUMIF(B$2:B390,"Recette",D$2:D390)-SUMIF(B$2:B390,"Dépense",D$2:D390)</f>
        <v>0</v>
      </c>
    </row>
    <row r="391" spans="5:5" x14ac:dyDescent="0.35">
      <c r="E391">
        <f>SUMIF(B$2:B391,"Recette",D$2:D391)-SUMIF(B$2:B391,"Dépense",D$2:D391)</f>
        <v>0</v>
      </c>
    </row>
    <row r="392" spans="5:5" x14ac:dyDescent="0.35">
      <c r="E392">
        <f>SUMIF(B$2:B392,"Recette",D$2:D392)-SUMIF(B$2:B392,"Dépense",D$2:D392)</f>
        <v>0</v>
      </c>
    </row>
    <row r="393" spans="5:5" x14ac:dyDescent="0.35">
      <c r="E393">
        <f>SUMIF(B$2:B393,"Recette",D$2:D393)-SUMIF(B$2:B393,"Dépense",D$2:D393)</f>
        <v>0</v>
      </c>
    </row>
    <row r="394" spans="5:5" x14ac:dyDescent="0.35">
      <c r="E394">
        <f>SUMIF(B$2:B394,"Recette",D$2:D394)-SUMIF(B$2:B394,"Dépense",D$2:D394)</f>
        <v>0</v>
      </c>
    </row>
    <row r="395" spans="5:5" x14ac:dyDescent="0.35">
      <c r="E395">
        <f>SUMIF(B$2:B395,"Recette",D$2:D395)-SUMIF(B$2:B395,"Dépense",D$2:D395)</f>
        <v>0</v>
      </c>
    </row>
    <row r="396" spans="5:5" x14ac:dyDescent="0.35">
      <c r="E396">
        <f>SUMIF(B$2:B396,"Recette",D$2:D396)-SUMIF(B$2:B396,"Dépense",D$2:D396)</f>
        <v>0</v>
      </c>
    </row>
    <row r="397" spans="5:5" x14ac:dyDescent="0.35">
      <c r="E397">
        <f>SUMIF(B$2:B397,"Recette",D$2:D397)-SUMIF(B$2:B397,"Dépense",D$2:D397)</f>
        <v>0</v>
      </c>
    </row>
    <row r="398" spans="5:5" x14ac:dyDescent="0.35">
      <c r="E398">
        <f>SUMIF(B$2:B398,"Recette",D$2:D398)-SUMIF(B$2:B398,"Dépense",D$2:D398)</f>
        <v>0</v>
      </c>
    </row>
    <row r="399" spans="5:5" x14ac:dyDescent="0.35">
      <c r="E399">
        <f>SUMIF(B$2:B399,"Recette",D$2:D399)-SUMIF(B$2:B399,"Dépense",D$2:D399)</f>
        <v>0</v>
      </c>
    </row>
    <row r="400" spans="5:5" x14ac:dyDescent="0.35">
      <c r="E400">
        <f>SUMIF(B$2:B400,"Recette",D$2:D400)-SUMIF(B$2:B400,"Dépense",D$2:D400)</f>
        <v>0</v>
      </c>
    </row>
    <row r="401" spans="5:5" x14ac:dyDescent="0.35">
      <c r="E401">
        <f>SUMIF(B$2:B401,"Recette",D$2:D401)-SUMIF(B$2:B401,"Dépense",D$2:D401)</f>
        <v>0</v>
      </c>
    </row>
    <row r="402" spans="5:5" x14ac:dyDescent="0.35">
      <c r="E402">
        <f>SUMIF(B$2:B402,"Recette",D$2:D402)-SUMIF(B$2:B402,"Dépense",D$2:D402)</f>
        <v>0</v>
      </c>
    </row>
    <row r="403" spans="5:5" x14ac:dyDescent="0.35">
      <c r="E403">
        <f>SUMIF(B$2:B403,"Recette",D$2:D403)-SUMIF(B$2:B403,"Dépense",D$2:D403)</f>
        <v>0</v>
      </c>
    </row>
    <row r="404" spans="5:5" x14ac:dyDescent="0.35">
      <c r="E404">
        <f>SUMIF(B$2:B404,"Recette",D$2:D404)-SUMIF(B$2:B404,"Dépense",D$2:D404)</f>
        <v>0</v>
      </c>
    </row>
    <row r="405" spans="5:5" x14ac:dyDescent="0.35">
      <c r="E405">
        <f>SUMIF(B$2:B405,"Recette",D$2:D405)-SUMIF(B$2:B405,"Dépense",D$2:D405)</f>
        <v>0</v>
      </c>
    </row>
    <row r="406" spans="5:5" x14ac:dyDescent="0.35">
      <c r="E406">
        <f>SUMIF(B$2:B406,"Recette",D$2:D406)-SUMIF(B$2:B406,"Dépense",D$2:D406)</f>
        <v>0</v>
      </c>
    </row>
    <row r="407" spans="5:5" x14ac:dyDescent="0.35">
      <c r="E407">
        <f>SUMIF(B$2:B407,"Recette",D$2:D407)-SUMIF(B$2:B407,"Dépense",D$2:D407)</f>
        <v>0</v>
      </c>
    </row>
    <row r="408" spans="5:5" x14ac:dyDescent="0.35">
      <c r="E408">
        <f>SUMIF(B$2:B408,"Recette",D$2:D408)-SUMIF(B$2:B408,"Dépense",D$2:D408)</f>
        <v>0</v>
      </c>
    </row>
    <row r="409" spans="5:5" x14ac:dyDescent="0.35">
      <c r="E409">
        <f>SUMIF(B$2:B409,"Recette",D$2:D409)-SUMIF(B$2:B409,"Dépense",D$2:D409)</f>
        <v>0</v>
      </c>
    </row>
    <row r="410" spans="5:5" x14ac:dyDescent="0.35">
      <c r="E410">
        <f>SUMIF(B$2:B410,"Recette",D$2:D410)-SUMIF(B$2:B410,"Dépense",D$2:D410)</f>
        <v>0</v>
      </c>
    </row>
    <row r="411" spans="5:5" x14ac:dyDescent="0.35">
      <c r="E411">
        <f>SUMIF(B$2:B411,"Recette",D$2:D411)-SUMIF(B$2:B411,"Dépense",D$2:D411)</f>
        <v>0</v>
      </c>
    </row>
    <row r="412" spans="5:5" x14ac:dyDescent="0.35">
      <c r="E412">
        <f>SUMIF(B$2:B412,"Recette",D$2:D412)-SUMIF(B$2:B412,"Dépense",D$2:D412)</f>
        <v>0</v>
      </c>
    </row>
    <row r="413" spans="5:5" x14ac:dyDescent="0.35">
      <c r="E413">
        <f>SUMIF(B$2:B413,"Recette",D$2:D413)-SUMIF(B$2:B413,"Dépense",D$2:D413)</f>
        <v>0</v>
      </c>
    </row>
    <row r="414" spans="5:5" x14ac:dyDescent="0.35">
      <c r="E414">
        <f>SUMIF(B$2:B414,"Recette",D$2:D414)-SUMIF(B$2:B414,"Dépense",D$2:D414)</f>
        <v>0</v>
      </c>
    </row>
    <row r="415" spans="5:5" x14ac:dyDescent="0.35">
      <c r="E415">
        <f>SUMIF(B$2:B415,"Recette",D$2:D415)-SUMIF(B$2:B415,"Dépense",D$2:D415)</f>
        <v>0</v>
      </c>
    </row>
    <row r="416" spans="5:5" x14ac:dyDescent="0.35">
      <c r="E416">
        <f>SUMIF(B$2:B416,"Recette",D$2:D416)-SUMIF(B$2:B416,"Dépense",D$2:D416)</f>
        <v>0</v>
      </c>
    </row>
    <row r="417" spans="5:5" x14ac:dyDescent="0.35">
      <c r="E417">
        <f>SUMIF(B$2:B417,"Recette",D$2:D417)-SUMIF(B$2:B417,"Dépense",D$2:D417)</f>
        <v>0</v>
      </c>
    </row>
    <row r="418" spans="5:5" x14ac:dyDescent="0.35">
      <c r="E418">
        <f>SUMIF(B$2:B418,"Recette",D$2:D418)-SUMIF(B$2:B418,"Dépense",D$2:D418)</f>
        <v>0</v>
      </c>
    </row>
    <row r="419" spans="5:5" x14ac:dyDescent="0.35">
      <c r="E419">
        <f>SUMIF(B$2:B419,"Recette",D$2:D419)-SUMIF(B$2:B419,"Dépense",D$2:D419)</f>
        <v>0</v>
      </c>
    </row>
    <row r="420" spans="5:5" x14ac:dyDescent="0.35">
      <c r="E420">
        <f>SUMIF(B$2:B420,"Recette",D$2:D420)-SUMIF(B$2:B420,"Dépense",D$2:D420)</f>
        <v>0</v>
      </c>
    </row>
    <row r="421" spans="5:5" x14ac:dyDescent="0.35">
      <c r="E421">
        <f>SUMIF(B$2:B421,"Recette",D$2:D421)-SUMIF(B$2:B421,"Dépense",D$2:D421)</f>
        <v>0</v>
      </c>
    </row>
    <row r="422" spans="5:5" x14ac:dyDescent="0.35">
      <c r="E422">
        <f>SUMIF(B$2:B422,"Recette",D$2:D422)-SUMIF(B$2:B422,"Dépense",D$2:D422)</f>
        <v>0</v>
      </c>
    </row>
    <row r="423" spans="5:5" x14ac:dyDescent="0.35">
      <c r="E423">
        <f>SUMIF(B$2:B423,"Recette",D$2:D423)-SUMIF(B$2:B423,"Dépense",D$2:D423)</f>
        <v>0</v>
      </c>
    </row>
    <row r="424" spans="5:5" x14ac:dyDescent="0.35">
      <c r="E424">
        <f>SUMIF(B$2:B424,"Recette",D$2:D424)-SUMIF(B$2:B424,"Dépense",D$2:D424)</f>
        <v>0</v>
      </c>
    </row>
    <row r="425" spans="5:5" x14ac:dyDescent="0.35">
      <c r="E425">
        <f>SUMIF(B$2:B425,"Recette",D$2:D425)-SUMIF(B$2:B425,"Dépense",D$2:D425)</f>
        <v>0</v>
      </c>
    </row>
    <row r="426" spans="5:5" x14ac:dyDescent="0.35">
      <c r="E426">
        <f>SUMIF(B$2:B426,"Recette",D$2:D426)-SUMIF(B$2:B426,"Dépense",D$2:D426)</f>
        <v>0</v>
      </c>
    </row>
    <row r="427" spans="5:5" x14ac:dyDescent="0.35">
      <c r="E427">
        <f>SUMIF(B$2:B427,"Recette",D$2:D427)-SUMIF(B$2:B427,"Dépense",D$2:D427)</f>
        <v>0</v>
      </c>
    </row>
    <row r="428" spans="5:5" x14ac:dyDescent="0.35">
      <c r="E428">
        <f>SUMIF(B$2:B428,"Recette",D$2:D428)-SUMIF(B$2:B428,"Dépense",D$2:D428)</f>
        <v>0</v>
      </c>
    </row>
    <row r="429" spans="5:5" x14ac:dyDescent="0.35">
      <c r="E429">
        <f>SUMIF(B$2:B429,"Recette",D$2:D429)-SUMIF(B$2:B429,"Dépense",D$2:D429)</f>
        <v>0</v>
      </c>
    </row>
    <row r="430" spans="5:5" x14ac:dyDescent="0.35">
      <c r="E430">
        <f>SUMIF(B$2:B430,"Recette",D$2:D430)-SUMIF(B$2:B430,"Dépense",D$2:D430)</f>
        <v>0</v>
      </c>
    </row>
    <row r="431" spans="5:5" x14ac:dyDescent="0.35">
      <c r="E431">
        <f>SUMIF(B$2:B431,"Recette",D$2:D431)-SUMIF(B$2:B431,"Dépense",D$2:D431)</f>
        <v>0</v>
      </c>
    </row>
    <row r="432" spans="5:5" x14ac:dyDescent="0.35">
      <c r="E432">
        <f>SUMIF(B$2:B432,"Recette",D$2:D432)-SUMIF(B$2:B432,"Dépense",D$2:D432)</f>
        <v>0</v>
      </c>
    </row>
    <row r="433" spans="5:5" x14ac:dyDescent="0.35">
      <c r="E433">
        <f>SUMIF(B$2:B433,"Recette",D$2:D433)-SUMIF(B$2:B433,"Dépense",D$2:D433)</f>
        <v>0</v>
      </c>
    </row>
    <row r="434" spans="5:5" x14ac:dyDescent="0.35">
      <c r="E434">
        <f>SUMIF(B$2:B434,"Recette",D$2:D434)-SUMIF(B$2:B434,"Dépense",D$2:D434)</f>
        <v>0</v>
      </c>
    </row>
    <row r="435" spans="5:5" x14ac:dyDescent="0.35">
      <c r="E435">
        <f>SUMIF(B$2:B435,"Recette",D$2:D435)-SUMIF(B$2:B435,"Dépense",D$2:D435)</f>
        <v>0</v>
      </c>
    </row>
    <row r="436" spans="5:5" x14ac:dyDescent="0.35">
      <c r="E436">
        <f>SUMIF(B$2:B436,"Recette",D$2:D436)-SUMIF(B$2:B436,"Dépense",D$2:D436)</f>
        <v>0</v>
      </c>
    </row>
    <row r="437" spans="5:5" x14ac:dyDescent="0.35">
      <c r="E437">
        <f>SUMIF(B$2:B437,"Recette",D$2:D437)-SUMIF(B$2:B437,"Dépense",D$2:D437)</f>
        <v>0</v>
      </c>
    </row>
    <row r="438" spans="5:5" x14ac:dyDescent="0.35">
      <c r="E438">
        <f>SUMIF(B$2:B438,"Recette",D$2:D438)-SUMIF(B$2:B438,"Dépense",D$2:D438)</f>
        <v>0</v>
      </c>
    </row>
    <row r="439" spans="5:5" x14ac:dyDescent="0.35">
      <c r="E439">
        <f>SUMIF(B$2:B439,"Recette",D$2:D439)-SUMIF(B$2:B439,"Dépense",D$2:D439)</f>
        <v>0</v>
      </c>
    </row>
    <row r="440" spans="5:5" x14ac:dyDescent="0.35">
      <c r="E440">
        <f>SUMIF(B$2:B440,"Recette",D$2:D440)-SUMIF(B$2:B440,"Dépense",D$2:D440)</f>
        <v>0</v>
      </c>
    </row>
    <row r="441" spans="5:5" x14ac:dyDescent="0.35">
      <c r="E441">
        <f>SUMIF(B$2:B441,"Recette",D$2:D441)-SUMIF(B$2:B441,"Dépense",D$2:D441)</f>
        <v>0</v>
      </c>
    </row>
    <row r="442" spans="5:5" x14ac:dyDescent="0.35">
      <c r="E442">
        <f>SUMIF(B$2:B442,"Recette",D$2:D442)-SUMIF(B$2:B442,"Dépense",D$2:D442)</f>
        <v>0</v>
      </c>
    </row>
    <row r="443" spans="5:5" x14ac:dyDescent="0.35">
      <c r="E443">
        <f>SUMIF(B$2:B443,"Recette",D$2:D443)-SUMIF(B$2:B443,"Dépense",D$2:D443)</f>
        <v>0</v>
      </c>
    </row>
    <row r="444" spans="5:5" x14ac:dyDescent="0.35">
      <c r="E444">
        <f>SUMIF(B$2:B444,"Recette",D$2:D444)-SUMIF(B$2:B444,"Dépense",D$2:D444)</f>
        <v>0</v>
      </c>
    </row>
    <row r="445" spans="5:5" x14ac:dyDescent="0.35">
      <c r="E445">
        <f>SUMIF(B$2:B445,"Recette",D$2:D445)-SUMIF(B$2:B445,"Dépense",D$2:D445)</f>
        <v>0</v>
      </c>
    </row>
    <row r="446" spans="5:5" x14ac:dyDescent="0.35">
      <c r="E446">
        <f>SUMIF(B$2:B446,"Recette",D$2:D446)-SUMIF(B$2:B446,"Dépense",D$2:D446)</f>
        <v>0</v>
      </c>
    </row>
    <row r="447" spans="5:5" x14ac:dyDescent="0.35">
      <c r="E447">
        <f>SUMIF(B$2:B447,"Recette",D$2:D447)-SUMIF(B$2:B447,"Dépense",D$2:D447)</f>
        <v>0</v>
      </c>
    </row>
    <row r="448" spans="5:5" x14ac:dyDescent="0.35">
      <c r="E448">
        <f>SUMIF(B$2:B448,"Recette",D$2:D448)-SUMIF(B$2:B448,"Dépense",D$2:D448)</f>
        <v>0</v>
      </c>
    </row>
    <row r="449" spans="5:5" x14ac:dyDescent="0.35">
      <c r="E449">
        <f>SUMIF(B$2:B449,"Recette",D$2:D449)-SUMIF(B$2:B449,"Dépense",D$2:D449)</f>
        <v>0</v>
      </c>
    </row>
    <row r="450" spans="5:5" x14ac:dyDescent="0.35">
      <c r="E450">
        <f>SUMIF(B$2:B450,"Recette",D$2:D450)-SUMIF(B$2:B450,"Dépense",D$2:D450)</f>
        <v>0</v>
      </c>
    </row>
    <row r="451" spans="5:5" x14ac:dyDescent="0.35">
      <c r="E451">
        <f>SUMIF(B$2:B451,"Recette",D$2:D451)-SUMIF(B$2:B451,"Dépense",D$2:D451)</f>
        <v>0</v>
      </c>
    </row>
    <row r="452" spans="5:5" x14ac:dyDescent="0.35">
      <c r="E452">
        <f>SUMIF(B$2:B452,"Recette",D$2:D452)-SUMIF(B$2:B452,"Dépense",D$2:D452)</f>
        <v>0</v>
      </c>
    </row>
    <row r="453" spans="5:5" x14ac:dyDescent="0.35">
      <c r="E453">
        <f>SUMIF(B$2:B453,"Recette",D$2:D453)-SUMIF(B$2:B453,"Dépense",D$2:D453)</f>
        <v>0</v>
      </c>
    </row>
    <row r="454" spans="5:5" x14ac:dyDescent="0.35">
      <c r="E454">
        <f>SUMIF(B$2:B454,"Recette",D$2:D454)-SUMIF(B$2:B454,"Dépense",D$2:D454)</f>
        <v>0</v>
      </c>
    </row>
    <row r="455" spans="5:5" x14ac:dyDescent="0.35">
      <c r="E455">
        <f>SUMIF(B$2:B455,"Recette",D$2:D455)-SUMIF(B$2:B455,"Dépense",D$2:D455)</f>
        <v>0</v>
      </c>
    </row>
    <row r="456" spans="5:5" x14ac:dyDescent="0.35">
      <c r="E456">
        <f>SUMIF(B$2:B456,"Recette",D$2:D456)-SUMIF(B$2:B456,"Dépense",D$2:D456)</f>
        <v>0</v>
      </c>
    </row>
    <row r="457" spans="5:5" x14ac:dyDescent="0.35">
      <c r="E457">
        <f>SUMIF(B$2:B457,"Recette",D$2:D457)-SUMIF(B$2:B457,"Dépense",D$2:D457)</f>
        <v>0</v>
      </c>
    </row>
    <row r="458" spans="5:5" x14ac:dyDescent="0.35">
      <c r="E458">
        <f>SUMIF(B$2:B458,"Recette",D$2:D458)-SUMIF(B$2:B458,"Dépense",D$2:D458)</f>
        <v>0</v>
      </c>
    </row>
    <row r="459" spans="5:5" x14ac:dyDescent="0.35">
      <c r="E459">
        <f>SUMIF(B$2:B459,"Recette",D$2:D459)-SUMIF(B$2:B459,"Dépense",D$2:D459)</f>
        <v>0</v>
      </c>
    </row>
    <row r="460" spans="5:5" x14ac:dyDescent="0.35">
      <c r="E460">
        <f>SUMIF(B$2:B460,"Recette",D$2:D460)-SUMIF(B$2:B460,"Dépense",D$2:D460)</f>
        <v>0</v>
      </c>
    </row>
    <row r="461" spans="5:5" x14ac:dyDescent="0.35">
      <c r="E461">
        <f>SUMIF(B$2:B461,"Recette",D$2:D461)-SUMIF(B$2:B461,"Dépense",D$2:D461)</f>
        <v>0</v>
      </c>
    </row>
    <row r="462" spans="5:5" x14ac:dyDescent="0.35">
      <c r="E462">
        <f>SUMIF(B$2:B462,"Recette",D$2:D462)-SUMIF(B$2:B462,"Dépense",D$2:D462)</f>
        <v>0</v>
      </c>
    </row>
    <row r="463" spans="5:5" x14ac:dyDescent="0.35">
      <c r="E463">
        <f>SUMIF(B$2:B463,"Recette",D$2:D463)-SUMIF(B$2:B463,"Dépense",D$2:D463)</f>
        <v>0</v>
      </c>
    </row>
    <row r="464" spans="5:5" x14ac:dyDescent="0.35">
      <c r="E464">
        <f>SUMIF(B$2:B464,"Recette",D$2:D464)-SUMIF(B$2:B464,"Dépense",D$2:D464)</f>
        <v>0</v>
      </c>
    </row>
    <row r="465" spans="5:5" x14ac:dyDescent="0.35">
      <c r="E465">
        <f>SUMIF(B$2:B465,"Recette",D$2:D465)-SUMIF(B$2:B465,"Dépense",D$2:D465)</f>
        <v>0</v>
      </c>
    </row>
    <row r="466" spans="5:5" x14ac:dyDescent="0.35">
      <c r="E466">
        <f>SUMIF(B$2:B466,"Recette",D$2:D466)-SUMIF(B$2:B466,"Dépense",D$2:D466)</f>
        <v>0</v>
      </c>
    </row>
    <row r="467" spans="5:5" x14ac:dyDescent="0.35">
      <c r="E467">
        <f>SUMIF(B$2:B467,"Recette",D$2:D467)-SUMIF(B$2:B467,"Dépense",D$2:D467)</f>
        <v>0</v>
      </c>
    </row>
    <row r="468" spans="5:5" x14ac:dyDescent="0.35">
      <c r="E468">
        <f>SUMIF(B$2:B468,"Recette",D$2:D468)-SUMIF(B$2:B468,"Dépense",D$2:D468)</f>
        <v>0</v>
      </c>
    </row>
    <row r="469" spans="5:5" x14ac:dyDescent="0.35">
      <c r="E469">
        <f>SUMIF(B$2:B469,"Recette",D$2:D469)-SUMIF(B$2:B469,"Dépense",D$2:D469)</f>
        <v>0</v>
      </c>
    </row>
    <row r="470" spans="5:5" x14ac:dyDescent="0.35">
      <c r="E470">
        <f>SUMIF(B$2:B470,"Recette",D$2:D470)-SUMIF(B$2:B470,"Dépense",D$2:D470)</f>
        <v>0</v>
      </c>
    </row>
    <row r="471" spans="5:5" x14ac:dyDescent="0.35">
      <c r="E471">
        <f>SUMIF(B$2:B471,"Recette",D$2:D471)-SUMIF(B$2:B471,"Dépense",D$2:D471)</f>
        <v>0</v>
      </c>
    </row>
    <row r="472" spans="5:5" x14ac:dyDescent="0.35">
      <c r="E472">
        <f>SUMIF(B$2:B472,"Recette",D$2:D472)-SUMIF(B$2:B472,"Dépense",D$2:D472)</f>
        <v>0</v>
      </c>
    </row>
    <row r="473" spans="5:5" x14ac:dyDescent="0.35">
      <c r="E473">
        <f>SUMIF(B$2:B473,"Recette",D$2:D473)-SUMIF(B$2:B473,"Dépense",D$2:D473)</f>
        <v>0</v>
      </c>
    </row>
    <row r="474" spans="5:5" x14ac:dyDescent="0.35">
      <c r="E474">
        <f>SUMIF(B$2:B474,"Recette",D$2:D474)-SUMIF(B$2:B474,"Dépense",D$2:D474)</f>
        <v>0</v>
      </c>
    </row>
    <row r="475" spans="5:5" x14ac:dyDescent="0.35">
      <c r="E475">
        <f>SUMIF(B$2:B475,"Recette",D$2:D475)-SUMIF(B$2:B475,"Dépense",D$2:D475)</f>
        <v>0</v>
      </c>
    </row>
    <row r="476" spans="5:5" x14ac:dyDescent="0.35">
      <c r="E476">
        <f>SUMIF(B$2:B476,"Recette",D$2:D476)-SUMIF(B$2:B476,"Dépense",D$2:D476)</f>
        <v>0</v>
      </c>
    </row>
    <row r="477" spans="5:5" x14ac:dyDescent="0.35">
      <c r="E477">
        <f>SUMIF(B$2:B477,"Recette",D$2:D477)-SUMIF(B$2:B477,"Dépense",D$2:D477)</f>
        <v>0</v>
      </c>
    </row>
    <row r="478" spans="5:5" x14ac:dyDescent="0.35">
      <c r="E478">
        <f>SUMIF(B$2:B478,"Recette",D$2:D478)-SUMIF(B$2:B478,"Dépense",D$2:D478)</f>
        <v>0</v>
      </c>
    </row>
    <row r="479" spans="5:5" x14ac:dyDescent="0.35">
      <c r="E479">
        <f>SUMIF(B$2:B479,"Recette",D$2:D479)-SUMIF(B$2:B479,"Dépense",D$2:D479)</f>
        <v>0</v>
      </c>
    </row>
    <row r="480" spans="5:5" x14ac:dyDescent="0.35">
      <c r="E480">
        <f>SUMIF(B$2:B480,"Recette",D$2:D480)-SUMIF(B$2:B480,"Dépense",D$2:D480)</f>
        <v>0</v>
      </c>
    </row>
    <row r="481" spans="5:5" x14ac:dyDescent="0.35">
      <c r="E481">
        <f>SUMIF(B$2:B481,"Recette",D$2:D481)-SUMIF(B$2:B481,"Dépense",D$2:D481)</f>
        <v>0</v>
      </c>
    </row>
    <row r="482" spans="5:5" x14ac:dyDescent="0.35">
      <c r="E482">
        <f>SUMIF(B$2:B482,"Recette",D$2:D482)-SUMIF(B$2:B482,"Dépense",D$2:D482)</f>
        <v>0</v>
      </c>
    </row>
    <row r="483" spans="5:5" x14ac:dyDescent="0.35">
      <c r="E483">
        <f>SUMIF(B$2:B483,"Recette",D$2:D483)-SUMIF(B$2:B483,"Dépense",D$2:D483)</f>
        <v>0</v>
      </c>
    </row>
    <row r="484" spans="5:5" x14ac:dyDescent="0.35">
      <c r="E484">
        <f>SUMIF(B$2:B484,"Recette",D$2:D484)-SUMIF(B$2:B484,"Dépense",D$2:D484)</f>
        <v>0</v>
      </c>
    </row>
    <row r="485" spans="5:5" x14ac:dyDescent="0.35">
      <c r="E485">
        <f>SUMIF(B$2:B485,"Recette",D$2:D485)-SUMIF(B$2:B485,"Dépense",D$2:D485)</f>
        <v>0</v>
      </c>
    </row>
    <row r="486" spans="5:5" x14ac:dyDescent="0.35">
      <c r="E486">
        <f>SUMIF(B$2:B486,"Recette",D$2:D486)-SUMIF(B$2:B486,"Dépense",D$2:D486)</f>
        <v>0</v>
      </c>
    </row>
    <row r="487" spans="5:5" x14ac:dyDescent="0.35">
      <c r="E487">
        <f>SUMIF(B$2:B487,"Recette",D$2:D487)-SUMIF(B$2:B487,"Dépense",D$2:D487)</f>
        <v>0</v>
      </c>
    </row>
    <row r="488" spans="5:5" x14ac:dyDescent="0.35">
      <c r="E488">
        <f>SUMIF(B$2:B488,"Recette",D$2:D488)-SUMIF(B$2:B488,"Dépense",D$2:D488)</f>
        <v>0</v>
      </c>
    </row>
    <row r="489" spans="5:5" x14ac:dyDescent="0.35">
      <c r="E489">
        <f>SUMIF(B$2:B489,"Recette",D$2:D489)-SUMIF(B$2:B489,"Dépense",D$2:D489)</f>
        <v>0</v>
      </c>
    </row>
    <row r="490" spans="5:5" x14ac:dyDescent="0.35">
      <c r="E490">
        <f>SUMIF(B$2:B490,"Recette",D$2:D490)-SUMIF(B$2:B490,"Dépense",D$2:D490)</f>
        <v>0</v>
      </c>
    </row>
    <row r="491" spans="5:5" x14ac:dyDescent="0.35">
      <c r="E491">
        <f>SUMIF(B$2:B491,"Recette",D$2:D491)-SUMIF(B$2:B491,"Dépense",D$2:D491)</f>
        <v>0</v>
      </c>
    </row>
    <row r="492" spans="5:5" x14ac:dyDescent="0.35">
      <c r="E492">
        <f>SUMIF(B$2:B492,"Recette",D$2:D492)-SUMIF(B$2:B492,"Dépense",D$2:D492)</f>
        <v>0</v>
      </c>
    </row>
    <row r="493" spans="5:5" x14ac:dyDescent="0.35">
      <c r="E493">
        <f>SUMIF(B$2:B493,"Recette",D$2:D493)-SUMIF(B$2:B493,"Dépense",D$2:D493)</f>
        <v>0</v>
      </c>
    </row>
    <row r="494" spans="5:5" x14ac:dyDescent="0.35">
      <c r="E494">
        <f>SUMIF(B$2:B494,"Recette",D$2:D494)-SUMIF(B$2:B494,"Dépense",D$2:D494)</f>
        <v>0</v>
      </c>
    </row>
    <row r="495" spans="5:5" x14ac:dyDescent="0.35">
      <c r="E495">
        <f>SUMIF(B$2:B495,"Recette",D$2:D495)-SUMIF(B$2:B495,"Dépense",D$2:D495)</f>
        <v>0</v>
      </c>
    </row>
    <row r="496" spans="5:5" x14ac:dyDescent="0.35">
      <c r="E496">
        <f>SUMIF(B$2:B496,"Recette",D$2:D496)-SUMIF(B$2:B496,"Dépense",D$2:D496)</f>
        <v>0</v>
      </c>
    </row>
    <row r="497" spans="5:5" x14ac:dyDescent="0.35">
      <c r="E497">
        <f>SUMIF(B$2:B497,"Recette",D$2:D497)-SUMIF(B$2:B497,"Dépense",D$2:D497)</f>
        <v>0</v>
      </c>
    </row>
    <row r="498" spans="5:5" x14ac:dyDescent="0.35">
      <c r="E498">
        <f>SUMIF(B$2:B498,"Recette",D$2:D498)-SUMIF(B$2:B498,"Dépense",D$2:D498)</f>
        <v>0</v>
      </c>
    </row>
    <row r="499" spans="5:5" x14ac:dyDescent="0.35">
      <c r="E499">
        <f>SUMIF(B$2:B499,"Recette",D$2:D499)-SUMIF(B$2:B499,"Dépense",D$2:D499)</f>
        <v>0</v>
      </c>
    </row>
    <row r="500" spans="5:5" x14ac:dyDescent="0.35">
      <c r="E500">
        <f>SUMIF(B$2:B500,"Recette",D$2:D500)-SUMIF(B$2:B500,"Dépense",D$2:D500)</f>
        <v>0</v>
      </c>
    </row>
    <row r="501" spans="5:5" x14ac:dyDescent="0.35">
      <c r="E501">
        <f>SUMIF(B$2:B501,"Recette",D$2:D501)-SUMIF(B$2:B501,"Dépense",D$2:D501)</f>
        <v>0</v>
      </c>
    </row>
    <row r="502" spans="5:5" x14ac:dyDescent="0.35">
      <c r="E502">
        <f>SUMIF(B$2:B502,"Recette",D$2:D502)-SUMIF(B$2:B502,"Dépense",D$2:D502)</f>
        <v>0</v>
      </c>
    </row>
    <row r="503" spans="5:5" x14ac:dyDescent="0.35">
      <c r="E503">
        <f>SUMIF(B$2:B503,"Recette",D$2:D503)-SUMIF(B$2:B503,"Dépense",D$2:D503)</f>
        <v>0</v>
      </c>
    </row>
    <row r="504" spans="5:5" x14ac:dyDescent="0.35">
      <c r="E504">
        <f>SUMIF(B$2:B504,"Recette",D$2:D504)-SUMIF(B$2:B504,"Dépense",D$2:D504)</f>
        <v>0</v>
      </c>
    </row>
    <row r="505" spans="5:5" x14ac:dyDescent="0.35">
      <c r="E505">
        <f>SUMIF(B$2:B505,"Recette",D$2:D505)-SUMIF(B$2:B505,"Dépense",D$2:D505)</f>
        <v>0</v>
      </c>
    </row>
    <row r="506" spans="5:5" x14ac:dyDescent="0.35">
      <c r="E506">
        <f>SUMIF(B$2:B506,"Recette",D$2:D506)-SUMIF(B$2:B506,"Dépense",D$2:D506)</f>
        <v>0</v>
      </c>
    </row>
    <row r="507" spans="5:5" x14ac:dyDescent="0.35">
      <c r="E507">
        <f>SUMIF(B$2:B507,"Recette",D$2:D507)-SUMIF(B$2:B507,"Dépense",D$2:D507)</f>
        <v>0</v>
      </c>
    </row>
    <row r="508" spans="5:5" x14ac:dyDescent="0.35">
      <c r="E508">
        <f>SUMIF(B$2:B508,"Recette",D$2:D508)-SUMIF(B$2:B508,"Dépense",D$2:D508)</f>
        <v>0</v>
      </c>
    </row>
    <row r="509" spans="5:5" x14ac:dyDescent="0.35">
      <c r="E509">
        <f>SUMIF(B$2:B509,"Recette",D$2:D509)-SUMIF(B$2:B509,"Dépense",D$2:D509)</f>
        <v>0</v>
      </c>
    </row>
    <row r="510" spans="5:5" x14ac:dyDescent="0.35">
      <c r="E510">
        <f>SUMIF(B$2:B510,"Recette",D$2:D510)-SUMIF(B$2:B510,"Dépense",D$2:D510)</f>
        <v>0</v>
      </c>
    </row>
    <row r="511" spans="5:5" x14ac:dyDescent="0.35">
      <c r="E511">
        <f>SUMIF(B$2:B511,"Recette",D$2:D511)-SUMIF(B$2:B511,"Dépense",D$2:D511)</f>
        <v>0</v>
      </c>
    </row>
    <row r="512" spans="5:5" x14ac:dyDescent="0.35">
      <c r="E512">
        <f>SUMIF(B$2:B512,"Recette",D$2:D512)-SUMIF(B$2:B512,"Dépense",D$2:D512)</f>
        <v>0</v>
      </c>
    </row>
    <row r="513" spans="5:5" x14ac:dyDescent="0.35">
      <c r="E513">
        <f>SUMIF(B$2:B513,"Recette",D$2:D513)-SUMIF(B$2:B513,"Dépense",D$2:D513)</f>
        <v>0</v>
      </c>
    </row>
    <row r="514" spans="5:5" x14ac:dyDescent="0.35">
      <c r="E514">
        <f>SUMIF(B$2:B514,"Recette",D$2:D514)-SUMIF(B$2:B514,"Dépense",D$2:D514)</f>
        <v>0</v>
      </c>
    </row>
    <row r="515" spans="5:5" x14ac:dyDescent="0.35">
      <c r="E515">
        <f>SUMIF(B$2:B515,"Recette",D$2:D515)-SUMIF(B$2:B515,"Dépense",D$2:D515)</f>
        <v>0</v>
      </c>
    </row>
    <row r="516" spans="5:5" x14ac:dyDescent="0.35">
      <c r="E516">
        <f>SUMIF(B$2:B516,"Recette",D$2:D516)-SUMIF(B$2:B516,"Dépense",D$2:D516)</f>
        <v>0</v>
      </c>
    </row>
    <row r="517" spans="5:5" x14ac:dyDescent="0.35">
      <c r="E517">
        <f>SUMIF(B$2:B517,"Recette",D$2:D517)-SUMIF(B$2:B517,"Dépense",D$2:D517)</f>
        <v>0</v>
      </c>
    </row>
    <row r="518" spans="5:5" x14ac:dyDescent="0.35">
      <c r="E518">
        <f>SUMIF(B$2:B518,"Recette",D$2:D518)-SUMIF(B$2:B518,"Dépense",D$2:D518)</f>
        <v>0</v>
      </c>
    </row>
    <row r="519" spans="5:5" x14ac:dyDescent="0.35">
      <c r="E519">
        <f>SUMIF(B$2:B519,"Recette",D$2:D519)-SUMIF(B$2:B519,"Dépense",D$2:D519)</f>
        <v>0</v>
      </c>
    </row>
    <row r="520" spans="5:5" x14ac:dyDescent="0.35">
      <c r="E520">
        <f>SUMIF(B$2:B520,"Recette",D$2:D520)-SUMIF(B$2:B520,"Dépense",D$2:D520)</f>
        <v>0</v>
      </c>
    </row>
    <row r="521" spans="5:5" x14ac:dyDescent="0.35">
      <c r="E521">
        <f>SUMIF(B$2:B521,"Recette",D$2:D521)-SUMIF(B$2:B521,"Dépense",D$2:D521)</f>
        <v>0</v>
      </c>
    </row>
    <row r="522" spans="5:5" x14ac:dyDescent="0.35">
      <c r="E522">
        <f>SUMIF(B$2:B522,"Recette",D$2:D522)-SUMIF(B$2:B522,"Dépense",D$2:D522)</f>
        <v>0</v>
      </c>
    </row>
    <row r="523" spans="5:5" x14ac:dyDescent="0.35">
      <c r="E523">
        <f>SUMIF(B$2:B523,"Recette",D$2:D523)-SUMIF(B$2:B523,"Dépense",D$2:D523)</f>
        <v>0</v>
      </c>
    </row>
    <row r="524" spans="5:5" x14ac:dyDescent="0.35">
      <c r="E524">
        <f>SUMIF(B$2:B524,"Recette",D$2:D524)-SUMIF(B$2:B524,"Dépense",D$2:D524)</f>
        <v>0</v>
      </c>
    </row>
    <row r="525" spans="5:5" x14ac:dyDescent="0.35">
      <c r="E525">
        <f>SUMIF(B$2:B525,"Recette",D$2:D525)-SUMIF(B$2:B525,"Dépense",D$2:D525)</f>
        <v>0</v>
      </c>
    </row>
    <row r="526" spans="5:5" x14ac:dyDescent="0.35">
      <c r="E526">
        <f>SUMIF(B$2:B526,"Recette",D$2:D526)-SUMIF(B$2:B526,"Dépense",D$2:D526)</f>
        <v>0</v>
      </c>
    </row>
    <row r="527" spans="5:5" x14ac:dyDescent="0.35">
      <c r="E527">
        <f>SUMIF(B$2:B527,"Recette",D$2:D527)-SUMIF(B$2:B527,"Dépense",D$2:D527)</f>
        <v>0</v>
      </c>
    </row>
    <row r="528" spans="5:5" x14ac:dyDescent="0.35">
      <c r="E528">
        <f>SUMIF(B$2:B528,"Recette",D$2:D528)-SUMIF(B$2:B528,"Dépense",D$2:D528)</f>
        <v>0</v>
      </c>
    </row>
    <row r="529" spans="5:5" x14ac:dyDescent="0.35">
      <c r="E529">
        <f>SUMIF(B$2:B529,"Recette",D$2:D529)-SUMIF(B$2:B529,"Dépense",D$2:D529)</f>
        <v>0</v>
      </c>
    </row>
    <row r="530" spans="5:5" x14ac:dyDescent="0.35">
      <c r="E530">
        <f>SUMIF(B$2:B530,"Recette",D$2:D530)-SUMIF(B$2:B530,"Dépense",D$2:D530)</f>
        <v>0</v>
      </c>
    </row>
    <row r="531" spans="5:5" x14ac:dyDescent="0.35">
      <c r="E531">
        <f>SUMIF(B$2:B531,"Recette",D$2:D531)-SUMIF(B$2:B531,"Dépense",D$2:D531)</f>
        <v>0</v>
      </c>
    </row>
    <row r="532" spans="5:5" x14ac:dyDescent="0.35">
      <c r="E532">
        <f>SUMIF(B$2:B532,"Recette",D$2:D532)-SUMIF(B$2:B532,"Dépense",D$2:D532)</f>
        <v>0</v>
      </c>
    </row>
    <row r="533" spans="5:5" x14ac:dyDescent="0.35">
      <c r="E533">
        <f>SUMIF(B$2:B533,"Recette",D$2:D533)-SUMIF(B$2:B533,"Dépense",D$2:D533)</f>
        <v>0</v>
      </c>
    </row>
    <row r="534" spans="5:5" x14ac:dyDescent="0.35">
      <c r="E534">
        <f>SUMIF(B$2:B534,"Recette",D$2:D534)-SUMIF(B$2:B534,"Dépense",D$2:D534)</f>
        <v>0</v>
      </c>
    </row>
    <row r="535" spans="5:5" x14ac:dyDescent="0.35">
      <c r="E535">
        <f>SUMIF(B$2:B535,"Recette",D$2:D535)-SUMIF(B$2:B535,"Dépense",D$2:D535)</f>
        <v>0</v>
      </c>
    </row>
    <row r="536" spans="5:5" x14ac:dyDescent="0.35">
      <c r="E536">
        <f>SUMIF(B$2:B536,"Recette",D$2:D536)-SUMIF(B$2:B536,"Dépense",D$2:D536)</f>
        <v>0</v>
      </c>
    </row>
    <row r="537" spans="5:5" x14ac:dyDescent="0.35">
      <c r="E537">
        <f>SUMIF(B$2:B537,"Recette",D$2:D537)-SUMIF(B$2:B537,"Dépense",D$2:D537)</f>
        <v>0</v>
      </c>
    </row>
    <row r="538" spans="5:5" x14ac:dyDescent="0.35">
      <c r="E538">
        <f>SUMIF(B$2:B538,"Recette",D$2:D538)-SUMIF(B$2:B538,"Dépense",D$2:D538)</f>
        <v>0</v>
      </c>
    </row>
    <row r="539" spans="5:5" x14ac:dyDescent="0.35">
      <c r="E539">
        <f>SUMIF(B$2:B539,"Recette",D$2:D539)-SUMIF(B$2:B539,"Dépense",D$2:D539)</f>
        <v>0</v>
      </c>
    </row>
    <row r="540" spans="5:5" x14ac:dyDescent="0.35">
      <c r="E540">
        <f>SUMIF(B$2:B540,"Recette",D$2:D540)-SUMIF(B$2:B540,"Dépense",D$2:D540)</f>
        <v>0</v>
      </c>
    </row>
    <row r="541" spans="5:5" x14ac:dyDescent="0.35">
      <c r="E541">
        <f>SUMIF(B$2:B541,"Recette",D$2:D541)-SUMIF(B$2:B541,"Dépense",D$2:D541)</f>
        <v>0</v>
      </c>
    </row>
    <row r="542" spans="5:5" x14ac:dyDescent="0.35">
      <c r="E542">
        <f>SUMIF(B$2:B542,"Recette",D$2:D542)-SUMIF(B$2:B542,"Dépense",D$2:D542)</f>
        <v>0</v>
      </c>
    </row>
    <row r="543" spans="5:5" x14ac:dyDescent="0.35">
      <c r="E543">
        <f>SUMIF(B$2:B543,"Recette",D$2:D543)-SUMIF(B$2:B543,"Dépense",D$2:D543)</f>
        <v>0</v>
      </c>
    </row>
    <row r="544" spans="5:5" x14ac:dyDescent="0.35">
      <c r="E544">
        <f>SUMIF(B$2:B544,"Recette",D$2:D544)-SUMIF(B$2:B544,"Dépense",D$2:D544)</f>
        <v>0</v>
      </c>
    </row>
    <row r="545" spans="5:5" x14ac:dyDescent="0.35">
      <c r="E545">
        <f>SUMIF(B$2:B545,"Recette",D$2:D545)-SUMIF(B$2:B545,"Dépense",D$2:D545)</f>
        <v>0</v>
      </c>
    </row>
    <row r="546" spans="5:5" x14ac:dyDescent="0.35">
      <c r="E546">
        <f>SUMIF(B$2:B546,"Recette",D$2:D546)-SUMIF(B$2:B546,"Dépense",D$2:D546)</f>
        <v>0</v>
      </c>
    </row>
    <row r="547" spans="5:5" x14ac:dyDescent="0.35">
      <c r="E547">
        <f>SUMIF(B$2:B547,"Recette",D$2:D547)-SUMIF(B$2:B547,"Dépense",D$2:D547)</f>
        <v>0</v>
      </c>
    </row>
    <row r="548" spans="5:5" x14ac:dyDescent="0.35">
      <c r="E548">
        <f>SUMIF(B$2:B548,"Recette",D$2:D548)-SUMIF(B$2:B548,"Dépense",D$2:D548)</f>
        <v>0</v>
      </c>
    </row>
    <row r="549" spans="5:5" x14ac:dyDescent="0.35">
      <c r="E549">
        <f>SUMIF(B$2:B549,"Recette",D$2:D549)-SUMIF(B$2:B549,"Dépense",D$2:D549)</f>
        <v>0</v>
      </c>
    </row>
    <row r="550" spans="5:5" x14ac:dyDescent="0.35">
      <c r="E550">
        <f>SUMIF(B$2:B550,"Recette",D$2:D550)-SUMIF(B$2:B550,"Dépense",D$2:D550)</f>
        <v>0</v>
      </c>
    </row>
    <row r="551" spans="5:5" x14ac:dyDescent="0.35">
      <c r="E551">
        <f>SUMIF(B$2:B551,"Recette",D$2:D551)-SUMIF(B$2:B551,"Dépense",D$2:D551)</f>
        <v>0</v>
      </c>
    </row>
    <row r="552" spans="5:5" x14ac:dyDescent="0.35">
      <c r="E552">
        <f>SUMIF(B$2:B552,"Recette",D$2:D552)-SUMIF(B$2:B552,"Dépense",D$2:D552)</f>
        <v>0</v>
      </c>
    </row>
    <row r="553" spans="5:5" x14ac:dyDescent="0.35">
      <c r="E553">
        <f>SUMIF(B$2:B553,"Recette",D$2:D553)-SUMIF(B$2:B553,"Dépense",D$2:D553)</f>
        <v>0</v>
      </c>
    </row>
    <row r="554" spans="5:5" x14ac:dyDescent="0.35">
      <c r="E554">
        <f>SUMIF(B$2:B554,"Recette",D$2:D554)-SUMIF(B$2:B554,"Dépense",D$2:D554)</f>
        <v>0</v>
      </c>
    </row>
    <row r="555" spans="5:5" x14ac:dyDescent="0.35">
      <c r="E555">
        <f>SUMIF(B$2:B555,"Recette",D$2:D555)-SUMIF(B$2:B555,"Dépense",D$2:D555)</f>
        <v>0</v>
      </c>
    </row>
    <row r="556" spans="5:5" x14ac:dyDescent="0.35">
      <c r="E556">
        <f>SUMIF(B$2:B556,"Recette",D$2:D556)-SUMIF(B$2:B556,"Dépense",D$2:D556)</f>
        <v>0</v>
      </c>
    </row>
    <row r="557" spans="5:5" x14ac:dyDescent="0.35">
      <c r="E557">
        <f>SUMIF(B$2:B557,"Recette",D$2:D557)-SUMIF(B$2:B557,"Dépense",D$2:D557)</f>
        <v>0</v>
      </c>
    </row>
    <row r="558" spans="5:5" x14ac:dyDescent="0.35">
      <c r="E558">
        <f>SUMIF(B$2:B558,"Recette",D$2:D558)-SUMIF(B$2:B558,"Dépense",D$2:D558)</f>
        <v>0</v>
      </c>
    </row>
    <row r="559" spans="5:5" x14ac:dyDescent="0.35">
      <c r="E559">
        <f>SUMIF(B$2:B559,"Recette",D$2:D559)-SUMIF(B$2:B559,"Dépense",D$2:D559)</f>
        <v>0</v>
      </c>
    </row>
    <row r="560" spans="5:5" x14ac:dyDescent="0.35">
      <c r="E560">
        <f>SUMIF(B$2:B560,"Recette",D$2:D560)-SUMIF(B$2:B560,"Dépense",D$2:D560)</f>
        <v>0</v>
      </c>
    </row>
    <row r="561" spans="5:5" x14ac:dyDescent="0.35">
      <c r="E561">
        <f>SUMIF(B$2:B561,"Recette",D$2:D561)-SUMIF(B$2:B561,"Dépense",D$2:D561)</f>
        <v>0</v>
      </c>
    </row>
    <row r="562" spans="5:5" x14ac:dyDescent="0.35">
      <c r="E562">
        <f>SUMIF(B$2:B562,"Recette",D$2:D562)-SUMIF(B$2:B562,"Dépense",D$2:D562)</f>
        <v>0</v>
      </c>
    </row>
    <row r="563" spans="5:5" x14ac:dyDescent="0.35">
      <c r="E563">
        <f>SUMIF(B$2:B563,"Recette",D$2:D563)-SUMIF(B$2:B563,"Dépense",D$2:D563)</f>
        <v>0</v>
      </c>
    </row>
    <row r="564" spans="5:5" x14ac:dyDescent="0.35">
      <c r="E564">
        <f>SUMIF(B$2:B564,"Recette",D$2:D564)-SUMIF(B$2:B564,"Dépense",D$2:D564)</f>
        <v>0</v>
      </c>
    </row>
    <row r="565" spans="5:5" x14ac:dyDescent="0.35">
      <c r="E565">
        <f>SUMIF(B$2:B565,"Recette",D$2:D565)-SUMIF(B$2:B565,"Dépense",D$2:D565)</f>
        <v>0</v>
      </c>
    </row>
    <row r="566" spans="5:5" x14ac:dyDescent="0.35">
      <c r="E566">
        <f>SUMIF(B$2:B566,"Recette",D$2:D566)-SUMIF(B$2:B566,"Dépense",D$2:D566)</f>
        <v>0</v>
      </c>
    </row>
    <row r="567" spans="5:5" x14ac:dyDescent="0.35">
      <c r="E567">
        <f>SUMIF(B$2:B567,"Recette",D$2:D567)-SUMIF(B$2:B567,"Dépense",D$2:D567)</f>
        <v>0</v>
      </c>
    </row>
    <row r="568" spans="5:5" x14ac:dyDescent="0.35">
      <c r="E568">
        <f>SUMIF(B$2:B568,"Recette",D$2:D568)-SUMIF(B$2:B568,"Dépense",D$2:D568)</f>
        <v>0</v>
      </c>
    </row>
    <row r="569" spans="5:5" x14ac:dyDescent="0.35">
      <c r="E569">
        <f>SUMIF(B$2:B569,"Recette",D$2:D569)-SUMIF(B$2:B569,"Dépense",D$2:D569)</f>
        <v>0</v>
      </c>
    </row>
    <row r="570" spans="5:5" x14ac:dyDescent="0.35">
      <c r="E570">
        <f>SUMIF(B$2:B570,"Recette",D$2:D570)-SUMIF(B$2:B570,"Dépense",D$2:D570)</f>
        <v>0</v>
      </c>
    </row>
    <row r="571" spans="5:5" x14ac:dyDescent="0.35">
      <c r="E571">
        <f>SUMIF(B$2:B571,"Recette",D$2:D571)-SUMIF(B$2:B571,"Dépense",D$2:D571)</f>
        <v>0</v>
      </c>
    </row>
    <row r="572" spans="5:5" x14ac:dyDescent="0.35">
      <c r="E572">
        <f>SUMIF(B$2:B572,"Recette",D$2:D572)-SUMIF(B$2:B572,"Dépense",D$2:D572)</f>
        <v>0</v>
      </c>
    </row>
    <row r="573" spans="5:5" x14ac:dyDescent="0.35">
      <c r="E573">
        <f>SUMIF(B$2:B573,"Recette",D$2:D573)-SUMIF(B$2:B573,"Dépense",D$2:D573)</f>
        <v>0</v>
      </c>
    </row>
    <row r="574" spans="5:5" x14ac:dyDescent="0.35">
      <c r="E574">
        <f>SUMIF(B$2:B574,"Recette",D$2:D574)-SUMIF(B$2:B574,"Dépense",D$2:D574)</f>
        <v>0</v>
      </c>
    </row>
    <row r="575" spans="5:5" x14ac:dyDescent="0.35">
      <c r="E575">
        <f>SUMIF(B$2:B575,"Recette",D$2:D575)-SUMIF(B$2:B575,"Dépense",D$2:D575)</f>
        <v>0</v>
      </c>
    </row>
    <row r="576" spans="5:5" x14ac:dyDescent="0.35">
      <c r="E576">
        <f>SUMIF(B$2:B576,"Recette",D$2:D576)-SUMIF(B$2:B576,"Dépense",D$2:D576)</f>
        <v>0</v>
      </c>
    </row>
    <row r="577" spans="5:5" x14ac:dyDescent="0.35">
      <c r="E577">
        <f>SUMIF(B$2:B577,"Recette",D$2:D577)-SUMIF(B$2:B577,"Dépense",D$2:D577)</f>
        <v>0</v>
      </c>
    </row>
    <row r="578" spans="5:5" x14ac:dyDescent="0.35">
      <c r="E578">
        <f>SUMIF(B$2:B578,"Recette",D$2:D578)-SUMIF(B$2:B578,"Dépense",D$2:D578)</f>
        <v>0</v>
      </c>
    </row>
    <row r="579" spans="5:5" x14ac:dyDescent="0.35">
      <c r="E579">
        <f>SUMIF(B$2:B579,"Recette",D$2:D579)-SUMIF(B$2:B579,"Dépense",D$2:D579)</f>
        <v>0</v>
      </c>
    </row>
    <row r="580" spans="5:5" x14ac:dyDescent="0.35">
      <c r="E580">
        <f>SUMIF(B$2:B580,"Recette",D$2:D580)-SUMIF(B$2:B580,"Dépense",D$2:D580)</f>
        <v>0</v>
      </c>
    </row>
    <row r="581" spans="5:5" x14ac:dyDescent="0.35">
      <c r="E581">
        <f>SUMIF(B$2:B581,"Recette",D$2:D581)-SUMIF(B$2:B581,"Dépense",D$2:D581)</f>
        <v>0</v>
      </c>
    </row>
    <row r="582" spans="5:5" x14ac:dyDescent="0.35">
      <c r="E582">
        <f>SUMIF(B$2:B582,"Recette",D$2:D582)-SUMIF(B$2:B582,"Dépense",D$2:D582)</f>
        <v>0</v>
      </c>
    </row>
    <row r="583" spans="5:5" x14ac:dyDescent="0.35">
      <c r="E583">
        <f>SUMIF(B$2:B583,"Recette",D$2:D583)-SUMIF(B$2:B583,"Dépense",D$2:D583)</f>
        <v>0</v>
      </c>
    </row>
    <row r="584" spans="5:5" x14ac:dyDescent="0.35">
      <c r="E584">
        <f>SUMIF(B$2:B584,"Recette",D$2:D584)-SUMIF(B$2:B584,"Dépense",D$2:D584)</f>
        <v>0</v>
      </c>
    </row>
    <row r="585" spans="5:5" x14ac:dyDescent="0.35">
      <c r="E585">
        <f>SUMIF(B$2:B585,"Recette",D$2:D585)-SUMIF(B$2:B585,"Dépense",D$2:D585)</f>
        <v>0</v>
      </c>
    </row>
    <row r="586" spans="5:5" x14ac:dyDescent="0.35">
      <c r="E586">
        <f>SUMIF(B$2:B586,"Recette",D$2:D586)-SUMIF(B$2:B586,"Dépense",D$2:D586)</f>
        <v>0</v>
      </c>
    </row>
    <row r="587" spans="5:5" x14ac:dyDescent="0.35">
      <c r="E587">
        <f>SUMIF(B$2:B587,"Recette",D$2:D587)-SUMIF(B$2:B587,"Dépense",D$2:D587)</f>
        <v>0</v>
      </c>
    </row>
    <row r="588" spans="5:5" x14ac:dyDescent="0.35">
      <c r="E588">
        <f>SUMIF(B$2:B588,"Recette",D$2:D588)-SUMIF(B$2:B588,"Dépense",D$2:D588)</f>
        <v>0</v>
      </c>
    </row>
    <row r="589" spans="5:5" x14ac:dyDescent="0.35">
      <c r="E589">
        <f>SUMIF(B$2:B589,"Recette",D$2:D589)-SUMIF(B$2:B589,"Dépense",D$2:D589)</f>
        <v>0</v>
      </c>
    </row>
    <row r="590" spans="5:5" x14ac:dyDescent="0.35">
      <c r="E590">
        <f>SUMIF(B$2:B590,"Recette",D$2:D590)-SUMIF(B$2:B590,"Dépense",D$2:D590)</f>
        <v>0</v>
      </c>
    </row>
    <row r="591" spans="5:5" x14ac:dyDescent="0.35">
      <c r="E591">
        <f>SUMIF(B$2:B591,"Recette",D$2:D591)-SUMIF(B$2:B591,"Dépense",D$2:D591)</f>
        <v>0</v>
      </c>
    </row>
    <row r="592" spans="5:5" x14ac:dyDescent="0.35">
      <c r="E592">
        <f>SUMIF(B$2:B592,"Recette",D$2:D592)-SUMIF(B$2:B592,"Dépense",D$2:D592)</f>
        <v>0</v>
      </c>
    </row>
    <row r="593" spans="5:5" x14ac:dyDescent="0.35">
      <c r="E593">
        <f>SUMIF(B$2:B593,"Recette",D$2:D593)-SUMIF(B$2:B593,"Dépense",D$2:D593)</f>
        <v>0</v>
      </c>
    </row>
    <row r="594" spans="5:5" x14ac:dyDescent="0.35">
      <c r="E594">
        <f>SUMIF(B$2:B594,"Recette",D$2:D594)-SUMIF(B$2:B594,"Dépense",D$2:D594)</f>
        <v>0</v>
      </c>
    </row>
    <row r="595" spans="5:5" x14ac:dyDescent="0.35">
      <c r="E595">
        <f>SUMIF(B$2:B595,"Recette",D$2:D595)-SUMIF(B$2:B595,"Dépense",D$2:D595)</f>
        <v>0</v>
      </c>
    </row>
    <row r="596" spans="5:5" x14ac:dyDescent="0.35">
      <c r="E596">
        <f>SUMIF(B$2:B596,"Recette",D$2:D596)-SUMIF(B$2:B596,"Dépense",D$2:D596)</f>
        <v>0</v>
      </c>
    </row>
    <row r="597" spans="5:5" x14ac:dyDescent="0.35">
      <c r="E597">
        <f>SUMIF(B$2:B597,"Recette",D$2:D597)-SUMIF(B$2:B597,"Dépense",D$2:D597)</f>
        <v>0</v>
      </c>
    </row>
    <row r="598" spans="5:5" x14ac:dyDescent="0.35">
      <c r="E598">
        <f>SUMIF(B$2:B598,"Recette",D$2:D598)-SUMIF(B$2:B598,"Dépense",D$2:D598)</f>
        <v>0</v>
      </c>
    </row>
    <row r="599" spans="5:5" x14ac:dyDescent="0.35">
      <c r="E599">
        <f>SUMIF(B$2:B599,"Recette",D$2:D599)-SUMIF(B$2:B599,"Dépense",D$2:D599)</f>
        <v>0</v>
      </c>
    </row>
    <row r="600" spans="5:5" x14ac:dyDescent="0.35">
      <c r="E600">
        <f>SUMIF(B$2:B600,"Recette",D$2:D600)-SUMIF(B$2:B600,"Dépense",D$2:D600)</f>
        <v>0</v>
      </c>
    </row>
    <row r="601" spans="5:5" x14ac:dyDescent="0.35">
      <c r="E601">
        <f>SUMIF(B$2:B601,"Recette",D$2:D601)-SUMIF(B$2:B601,"Dépense",D$2:D601)</f>
        <v>0</v>
      </c>
    </row>
    <row r="602" spans="5:5" x14ac:dyDescent="0.35">
      <c r="E602">
        <f>SUMIF(B$2:B602,"Recette",D$2:D602)-SUMIF(B$2:B602,"Dépense",D$2:D602)</f>
        <v>0</v>
      </c>
    </row>
    <row r="603" spans="5:5" x14ac:dyDescent="0.35">
      <c r="E603">
        <f>SUMIF(B$2:B603,"Recette",D$2:D603)-SUMIF(B$2:B603,"Dépense",D$2:D603)</f>
        <v>0</v>
      </c>
    </row>
    <row r="604" spans="5:5" x14ac:dyDescent="0.35">
      <c r="E604">
        <f>SUMIF(B$2:B604,"Recette",D$2:D604)-SUMIF(B$2:B604,"Dépense",D$2:D604)</f>
        <v>0</v>
      </c>
    </row>
    <row r="605" spans="5:5" x14ac:dyDescent="0.35">
      <c r="E605">
        <f>SUMIF(B$2:B605,"Recette",D$2:D605)-SUMIF(B$2:B605,"Dépense",D$2:D605)</f>
        <v>0</v>
      </c>
    </row>
    <row r="606" spans="5:5" x14ac:dyDescent="0.35">
      <c r="E606">
        <f>SUMIF(B$2:B606,"Recette",D$2:D606)-SUMIF(B$2:B606,"Dépense",D$2:D606)</f>
        <v>0</v>
      </c>
    </row>
    <row r="607" spans="5:5" x14ac:dyDescent="0.35">
      <c r="E607">
        <f>SUMIF(B$2:B607,"Recette",D$2:D607)-SUMIF(B$2:B607,"Dépense",D$2:D607)</f>
        <v>0</v>
      </c>
    </row>
    <row r="608" spans="5:5" x14ac:dyDescent="0.35">
      <c r="E608">
        <f>SUMIF(B$2:B608,"Recette",D$2:D608)-SUMIF(B$2:B608,"Dépense",D$2:D608)</f>
        <v>0</v>
      </c>
    </row>
    <row r="609" spans="5:5" x14ac:dyDescent="0.35">
      <c r="E609">
        <f>SUMIF(B$2:B609,"Recette",D$2:D609)-SUMIF(B$2:B609,"Dépense",D$2:D609)</f>
        <v>0</v>
      </c>
    </row>
    <row r="610" spans="5:5" x14ac:dyDescent="0.35">
      <c r="E610">
        <f>SUMIF(B$2:B610,"Recette",D$2:D610)-SUMIF(B$2:B610,"Dépense",D$2:D610)</f>
        <v>0</v>
      </c>
    </row>
    <row r="611" spans="5:5" x14ac:dyDescent="0.35">
      <c r="E611">
        <f>SUMIF(B$2:B611,"Recette",D$2:D611)-SUMIF(B$2:B611,"Dépense",D$2:D611)</f>
        <v>0</v>
      </c>
    </row>
    <row r="612" spans="5:5" x14ac:dyDescent="0.35">
      <c r="E612">
        <f>SUMIF(B$2:B612,"Recette",D$2:D612)-SUMIF(B$2:B612,"Dépense",D$2:D612)</f>
        <v>0</v>
      </c>
    </row>
    <row r="613" spans="5:5" x14ac:dyDescent="0.35">
      <c r="E613">
        <f>SUMIF(B$2:B613,"Recette",D$2:D613)-SUMIF(B$2:B613,"Dépense",D$2:D613)</f>
        <v>0</v>
      </c>
    </row>
    <row r="614" spans="5:5" x14ac:dyDescent="0.35">
      <c r="E614">
        <f>SUMIF(B$2:B614,"Recette",D$2:D614)-SUMIF(B$2:B614,"Dépense",D$2:D614)</f>
        <v>0</v>
      </c>
    </row>
    <row r="615" spans="5:5" x14ac:dyDescent="0.35">
      <c r="E615">
        <f>SUMIF(B$2:B615,"Recette",D$2:D615)-SUMIF(B$2:B615,"Dépense",D$2:D615)</f>
        <v>0</v>
      </c>
    </row>
    <row r="616" spans="5:5" x14ac:dyDescent="0.35">
      <c r="E616">
        <f>SUMIF(B$2:B616,"Recette",D$2:D616)-SUMIF(B$2:B616,"Dépense",D$2:D616)</f>
        <v>0</v>
      </c>
    </row>
    <row r="617" spans="5:5" x14ac:dyDescent="0.35">
      <c r="E617">
        <f>SUMIF(B$2:B617,"Recette",D$2:D617)-SUMIF(B$2:B617,"Dépense",D$2:D617)</f>
        <v>0</v>
      </c>
    </row>
    <row r="618" spans="5:5" x14ac:dyDescent="0.35">
      <c r="E618">
        <f>SUMIF(B$2:B618,"Recette",D$2:D618)-SUMIF(B$2:B618,"Dépense",D$2:D618)</f>
        <v>0</v>
      </c>
    </row>
    <row r="619" spans="5:5" x14ac:dyDescent="0.35">
      <c r="E619">
        <f>SUMIF(B$2:B619,"Recette",D$2:D619)-SUMIF(B$2:B619,"Dépense",D$2:D619)</f>
        <v>0</v>
      </c>
    </row>
    <row r="620" spans="5:5" x14ac:dyDescent="0.35">
      <c r="E620">
        <f>SUMIF(B$2:B620,"Recette",D$2:D620)-SUMIF(B$2:B620,"Dépense",D$2:D620)</f>
        <v>0</v>
      </c>
    </row>
    <row r="621" spans="5:5" x14ac:dyDescent="0.35">
      <c r="E621">
        <f>SUMIF(B$2:B621,"Recette",D$2:D621)-SUMIF(B$2:B621,"Dépense",D$2:D621)</f>
        <v>0</v>
      </c>
    </row>
    <row r="622" spans="5:5" x14ac:dyDescent="0.35">
      <c r="E622">
        <f>SUMIF(B$2:B622,"Recette",D$2:D622)-SUMIF(B$2:B622,"Dépense",D$2:D622)</f>
        <v>0</v>
      </c>
    </row>
    <row r="623" spans="5:5" x14ac:dyDescent="0.35">
      <c r="E623">
        <f>SUMIF(B$2:B623,"Recette",D$2:D623)-SUMIF(B$2:B623,"Dépense",D$2:D623)</f>
        <v>0</v>
      </c>
    </row>
    <row r="624" spans="5:5" x14ac:dyDescent="0.35">
      <c r="E624">
        <f>SUMIF(B$2:B624,"Recette",D$2:D624)-SUMIF(B$2:B624,"Dépense",D$2:D624)</f>
        <v>0</v>
      </c>
    </row>
    <row r="625" spans="5:5" x14ac:dyDescent="0.35">
      <c r="E625">
        <f>SUMIF(B$2:B625,"Recette",D$2:D625)-SUMIF(B$2:B625,"Dépense",D$2:D625)</f>
        <v>0</v>
      </c>
    </row>
    <row r="626" spans="5:5" x14ac:dyDescent="0.35">
      <c r="E626">
        <f>SUMIF(B$2:B626,"Recette",D$2:D626)-SUMIF(B$2:B626,"Dépense",D$2:D626)</f>
        <v>0</v>
      </c>
    </row>
    <row r="627" spans="5:5" x14ac:dyDescent="0.35">
      <c r="E627">
        <f>SUMIF(B$2:B627,"Recette",D$2:D627)-SUMIF(B$2:B627,"Dépense",D$2:D627)</f>
        <v>0</v>
      </c>
    </row>
    <row r="628" spans="5:5" x14ac:dyDescent="0.35">
      <c r="E628">
        <f>SUMIF(B$2:B628,"Recette",D$2:D628)-SUMIF(B$2:B628,"Dépense",D$2:D628)</f>
        <v>0</v>
      </c>
    </row>
    <row r="629" spans="5:5" x14ac:dyDescent="0.35">
      <c r="E629">
        <f>SUMIF(B$2:B629,"Recette",D$2:D629)-SUMIF(B$2:B629,"Dépense",D$2:D629)</f>
        <v>0</v>
      </c>
    </row>
    <row r="630" spans="5:5" x14ac:dyDescent="0.35">
      <c r="E630">
        <f>SUMIF(B$2:B630,"Recette",D$2:D630)-SUMIF(B$2:B630,"Dépense",D$2:D630)</f>
        <v>0</v>
      </c>
    </row>
    <row r="631" spans="5:5" x14ac:dyDescent="0.35">
      <c r="E631">
        <f>SUMIF(B$2:B631,"Recette",D$2:D631)-SUMIF(B$2:B631,"Dépense",D$2:D631)</f>
        <v>0</v>
      </c>
    </row>
    <row r="632" spans="5:5" x14ac:dyDescent="0.35">
      <c r="E632">
        <f>SUMIF(B$2:B632,"Recette",D$2:D632)-SUMIF(B$2:B632,"Dépense",D$2:D632)</f>
        <v>0</v>
      </c>
    </row>
    <row r="633" spans="5:5" x14ac:dyDescent="0.35">
      <c r="E633">
        <f>SUMIF(B$2:B633,"Recette",D$2:D633)-SUMIF(B$2:B633,"Dépense",D$2:D633)</f>
        <v>0</v>
      </c>
    </row>
    <row r="634" spans="5:5" x14ac:dyDescent="0.35">
      <c r="E634">
        <f>SUMIF(B$2:B634,"Recette",D$2:D634)-SUMIF(B$2:B634,"Dépense",D$2:D634)</f>
        <v>0</v>
      </c>
    </row>
    <row r="635" spans="5:5" x14ac:dyDescent="0.35">
      <c r="E635">
        <f>SUMIF(B$2:B635,"Recette",D$2:D635)-SUMIF(B$2:B635,"Dépense",D$2:D635)</f>
        <v>0</v>
      </c>
    </row>
    <row r="636" spans="5:5" x14ac:dyDescent="0.35">
      <c r="E636">
        <f>SUMIF(B$2:B636,"Recette",D$2:D636)-SUMIF(B$2:B636,"Dépense",D$2:D636)</f>
        <v>0</v>
      </c>
    </row>
    <row r="637" spans="5:5" x14ac:dyDescent="0.35">
      <c r="E637">
        <f>SUMIF(B$2:B637,"Recette",D$2:D637)-SUMIF(B$2:B637,"Dépense",D$2:D637)</f>
        <v>0</v>
      </c>
    </row>
    <row r="638" spans="5:5" x14ac:dyDescent="0.35">
      <c r="E638">
        <f>SUMIF(B$2:B638,"Recette",D$2:D638)-SUMIF(B$2:B638,"Dépense",D$2:D638)</f>
        <v>0</v>
      </c>
    </row>
    <row r="639" spans="5:5" x14ac:dyDescent="0.35">
      <c r="E639">
        <f>SUMIF(B$2:B639,"Recette",D$2:D639)-SUMIF(B$2:B639,"Dépense",D$2:D639)</f>
        <v>0</v>
      </c>
    </row>
    <row r="640" spans="5:5" x14ac:dyDescent="0.35">
      <c r="E640">
        <f>SUMIF(B$2:B640,"Recette",D$2:D640)-SUMIF(B$2:B640,"Dépense",D$2:D640)</f>
        <v>0</v>
      </c>
    </row>
    <row r="641" spans="5:5" x14ac:dyDescent="0.35">
      <c r="E641">
        <f>SUMIF(B$2:B641,"Recette",D$2:D641)-SUMIF(B$2:B641,"Dépense",D$2:D641)</f>
        <v>0</v>
      </c>
    </row>
    <row r="642" spans="5:5" x14ac:dyDescent="0.35">
      <c r="E642">
        <f>SUMIF(B$2:B642,"Recette",D$2:D642)-SUMIF(B$2:B642,"Dépense",D$2:D642)</f>
        <v>0</v>
      </c>
    </row>
    <row r="643" spans="5:5" x14ac:dyDescent="0.35">
      <c r="E643">
        <f>SUMIF(B$2:B643,"Recette",D$2:D643)-SUMIF(B$2:B643,"Dépense",D$2:D643)</f>
        <v>0</v>
      </c>
    </row>
    <row r="644" spans="5:5" x14ac:dyDescent="0.35">
      <c r="E644">
        <f>SUMIF(B$2:B644,"Recette",D$2:D644)-SUMIF(B$2:B644,"Dépense",D$2:D644)</f>
        <v>0</v>
      </c>
    </row>
    <row r="645" spans="5:5" x14ac:dyDescent="0.35">
      <c r="E645">
        <f>SUMIF(B$2:B645,"Recette",D$2:D645)-SUMIF(B$2:B645,"Dépense",D$2:D645)</f>
        <v>0</v>
      </c>
    </row>
    <row r="646" spans="5:5" x14ac:dyDescent="0.35">
      <c r="E646">
        <f>SUMIF(B$2:B646,"Recette",D$2:D646)-SUMIF(B$2:B646,"Dépense",D$2:D646)</f>
        <v>0</v>
      </c>
    </row>
    <row r="647" spans="5:5" x14ac:dyDescent="0.35">
      <c r="E647">
        <f>SUMIF(B$2:B647,"Recette",D$2:D647)-SUMIF(B$2:B647,"Dépense",D$2:D647)</f>
        <v>0</v>
      </c>
    </row>
    <row r="648" spans="5:5" x14ac:dyDescent="0.35">
      <c r="E648">
        <f>SUMIF(B$2:B648,"Recette",D$2:D648)-SUMIF(B$2:B648,"Dépense",D$2:D648)</f>
        <v>0</v>
      </c>
    </row>
    <row r="649" spans="5:5" x14ac:dyDescent="0.35">
      <c r="E649">
        <f>SUMIF(B$2:B649,"Recette",D$2:D649)-SUMIF(B$2:B649,"Dépense",D$2:D649)</f>
        <v>0</v>
      </c>
    </row>
    <row r="650" spans="5:5" x14ac:dyDescent="0.35">
      <c r="E650">
        <f>SUMIF(B$2:B650,"Recette",D$2:D650)-SUMIF(B$2:B650,"Dépense",D$2:D650)</f>
        <v>0</v>
      </c>
    </row>
    <row r="651" spans="5:5" x14ac:dyDescent="0.35">
      <c r="E651">
        <f>SUMIF(B$2:B651,"Recette",D$2:D651)-SUMIF(B$2:B651,"Dépense",D$2:D651)</f>
        <v>0</v>
      </c>
    </row>
    <row r="652" spans="5:5" x14ac:dyDescent="0.35">
      <c r="E652">
        <f>SUMIF(B$2:B652,"Recette",D$2:D652)-SUMIF(B$2:B652,"Dépense",D$2:D652)</f>
        <v>0</v>
      </c>
    </row>
    <row r="653" spans="5:5" x14ac:dyDescent="0.35">
      <c r="E653">
        <f>SUMIF(B$2:B653,"Recette",D$2:D653)-SUMIF(B$2:B653,"Dépense",D$2:D653)</f>
        <v>0</v>
      </c>
    </row>
    <row r="654" spans="5:5" x14ac:dyDescent="0.35">
      <c r="E654">
        <f>SUMIF(B$2:B654,"Recette",D$2:D654)-SUMIF(B$2:B654,"Dépense",D$2:D654)</f>
        <v>0</v>
      </c>
    </row>
    <row r="655" spans="5:5" x14ac:dyDescent="0.35">
      <c r="E655">
        <f>SUMIF(B$2:B655,"Recette",D$2:D655)-SUMIF(B$2:B655,"Dépense",D$2:D655)</f>
        <v>0</v>
      </c>
    </row>
    <row r="656" spans="5:5" x14ac:dyDescent="0.35">
      <c r="E656">
        <f>SUMIF(B$2:B656,"Recette",D$2:D656)-SUMIF(B$2:B656,"Dépense",D$2:D656)</f>
        <v>0</v>
      </c>
    </row>
    <row r="657" spans="5:5" x14ac:dyDescent="0.35">
      <c r="E657">
        <f>SUMIF(B$2:B657,"Recette",D$2:D657)-SUMIF(B$2:B657,"Dépense",D$2:D657)</f>
        <v>0</v>
      </c>
    </row>
    <row r="658" spans="5:5" x14ac:dyDescent="0.35">
      <c r="E658">
        <f>SUMIF(B$2:B658,"Recette",D$2:D658)-SUMIF(B$2:B658,"Dépense",D$2:D658)</f>
        <v>0</v>
      </c>
    </row>
    <row r="659" spans="5:5" x14ac:dyDescent="0.35">
      <c r="E659">
        <f>SUMIF(B$2:B659,"Recette",D$2:D659)-SUMIF(B$2:B659,"Dépense",D$2:D659)</f>
        <v>0</v>
      </c>
    </row>
    <row r="660" spans="5:5" x14ac:dyDescent="0.35">
      <c r="E660">
        <f>SUMIF(B$2:B660,"Recette",D$2:D660)-SUMIF(B$2:B660,"Dépense",D$2:D660)</f>
        <v>0</v>
      </c>
    </row>
    <row r="661" spans="5:5" x14ac:dyDescent="0.35">
      <c r="E661">
        <f>SUMIF(B$2:B661,"Recette",D$2:D661)-SUMIF(B$2:B661,"Dépense",D$2:D661)</f>
        <v>0</v>
      </c>
    </row>
    <row r="662" spans="5:5" x14ac:dyDescent="0.35">
      <c r="E662">
        <f>SUMIF(B$2:B662,"Recette",D$2:D662)-SUMIF(B$2:B662,"Dépense",D$2:D662)</f>
        <v>0</v>
      </c>
    </row>
    <row r="663" spans="5:5" x14ac:dyDescent="0.35">
      <c r="E663">
        <f>SUMIF(B$2:B663,"Recette",D$2:D663)-SUMIF(B$2:B663,"Dépense",D$2:D663)</f>
        <v>0</v>
      </c>
    </row>
    <row r="664" spans="5:5" x14ac:dyDescent="0.35">
      <c r="E664">
        <f>SUMIF(B$2:B664,"Recette",D$2:D664)-SUMIF(B$2:B664,"Dépense",D$2:D664)</f>
        <v>0</v>
      </c>
    </row>
    <row r="665" spans="5:5" x14ac:dyDescent="0.35">
      <c r="E665">
        <f>SUMIF(B$2:B665,"Recette",D$2:D665)-SUMIF(B$2:B665,"Dépense",D$2:D665)</f>
        <v>0</v>
      </c>
    </row>
    <row r="666" spans="5:5" x14ac:dyDescent="0.35">
      <c r="E666">
        <f>SUMIF(B$2:B666,"Recette",D$2:D666)-SUMIF(B$2:B666,"Dépense",D$2:D666)</f>
        <v>0</v>
      </c>
    </row>
    <row r="667" spans="5:5" x14ac:dyDescent="0.35">
      <c r="E667">
        <f>SUMIF(B$2:B667,"Recette",D$2:D667)-SUMIF(B$2:B667,"Dépense",D$2:D667)</f>
        <v>0</v>
      </c>
    </row>
    <row r="668" spans="5:5" x14ac:dyDescent="0.35">
      <c r="E668">
        <f>SUMIF(B$2:B668,"Recette",D$2:D668)-SUMIF(B$2:B668,"Dépense",D$2:D668)</f>
        <v>0</v>
      </c>
    </row>
    <row r="669" spans="5:5" x14ac:dyDescent="0.35">
      <c r="E669">
        <f>SUMIF(B$2:B669,"Recette",D$2:D669)-SUMIF(B$2:B669,"Dépense",D$2:D669)</f>
        <v>0</v>
      </c>
    </row>
    <row r="670" spans="5:5" x14ac:dyDescent="0.35">
      <c r="E670">
        <f>SUMIF(B$2:B670,"Recette",D$2:D670)-SUMIF(B$2:B670,"Dépense",D$2:D670)</f>
        <v>0</v>
      </c>
    </row>
    <row r="671" spans="5:5" x14ac:dyDescent="0.35">
      <c r="E671">
        <f>SUMIF(B$2:B671,"Recette",D$2:D671)-SUMIF(B$2:B671,"Dépense",D$2:D671)</f>
        <v>0</v>
      </c>
    </row>
    <row r="672" spans="5:5" x14ac:dyDescent="0.35">
      <c r="E672">
        <f>SUMIF(B$2:B672,"Recette",D$2:D672)-SUMIF(B$2:B672,"Dépense",D$2:D672)</f>
        <v>0</v>
      </c>
    </row>
    <row r="673" spans="5:5" x14ac:dyDescent="0.35">
      <c r="E673">
        <f>SUMIF(B$2:B673,"Recette",D$2:D673)-SUMIF(B$2:B673,"Dépense",D$2:D673)</f>
        <v>0</v>
      </c>
    </row>
    <row r="674" spans="5:5" x14ac:dyDescent="0.35">
      <c r="E674">
        <f>SUMIF(B$2:B674,"Recette",D$2:D674)-SUMIF(B$2:B674,"Dépense",D$2:D674)</f>
        <v>0</v>
      </c>
    </row>
    <row r="675" spans="5:5" x14ac:dyDescent="0.35">
      <c r="E675">
        <f>SUMIF(B$2:B675,"Recette",D$2:D675)-SUMIF(B$2:B675,"Dépense",D$2:D675)</f>
        <v>0</v>
      </c>
    </row>
    <row r="676" spans="5:5" x14ac:dyDescent="0.35">
      <c r="E676">
        <f>SUMIF(B$2:B676,"Recette",D$2:D676)-SUMIF(B$2:B676,"Dépense",D$2:D676)</f>
        <v>0</v>
      </c>
    </row>
    <row r="677" spans="5:5" x14ac:dyDescent="0.35">
      <c r="E677">
        <f>SUMIF(B$2:B677,"Recette",D$2:D677)-SUMIF(B$2:B677,"Dépense",D$2:D677)</f>
        <v>0</v>
      </c>
    </row>
    <row r="678" spans="5:5" x14ac:dyDescent="0.35">
      <c r="E678">
        <f>SUMIF(B$2:B678,"Recette",D$2:D678)-SUMIF(B$2:B678,"Dépense",D$2:D678)</f>
        <v>0</v>
      </c>
    </row>
    <row r="679" spans="5:5" x14ac:dyDescent="0.35">
      <c r="E679">
        <f>SUMIF(B$2:B679,"Recette",D$2:D679)-SUMIF(B$2:B679,"Dépense",D$2:D679)</f>
        <v>0</v>
      </c>
    </row>
    <row r="680" spans="5:5" x14ac:dyDescent="0.35">
      <c r="E680">
        <f>SUMIF(B$2:B680,"Recette",D$2:D680)-SUMIF(B$2:B680,"Dépense",D$2:D680)</f>
        <v>0</v>
      </c>
    </row>
    <row r="681" spans="5:5" x14ac:dyDescent="0.35">
      <c r="E681">
        <f>SUMIF(B$2:B681,"Recette",D$2:D681)-SUMIF(B$2:B681,"Dépense",D$2:D681)</f>
        <v>0</v>
      </c>
    </row>
    <row r="682" spans="5:5" x14ac:dyDescent="0.35">
      <c r="E682">
        <f>SUMIF(B$2:B682,"Recette",D$2:D682)-SUMIF(B$2:B682,"Dépense",D$2:D682)</f>
        <v>0</v>
      </c>
    </row>
    <row r="683" spans="5:5" x14ac:dyDescent="0.35">
      <c r="E683">
        <f>SUMIF(B$2:B683,"Recette",D$2:D683)-SUMIF(B$2:B683,"Dépense",D$2:D683)</f>
        <v>0</v>
      </c>
    </row>
    <row r="684" spans="5:5" x14ac:dyDescent="0.35">
      <c r="E684">
        <f>SUMIF(B$2:B684,"Recette",D$2:D684)-SUMIF(B$2:B684,"Dépense",D$2:D684)</f>
        <v>0</v>
      </c>
    </row>
    <row r="685" spans="5:5" x14ac:dyDescent="0.35">
      <c r="E685">
        <f>SUMIF(B$2:B685,"Recette",D$2:D685)-SUMIF(B$2:B685,"Dépense",D$2:D685)</f>
        <v>0</v>
      </c>
    </row>
    <row r="686" spans="5:5" x14ac:dyDescent="0.35">
      <c r="E686">
        <f>SUMIF(B$2:B686,"Recette",D$2:D686)-SUMIF(B$2:B686,"Dépense",D$2:D686)</f>
        <v>0</v>
      </c>
    </row>
    <row r="687" spans="5:5" x14ac:dyDescent="0.35">
      <c r="E687">
        <f>SUMIF(B$2:B687,"Recette",D$2:D687)-SUMIF(B$2:B687,"Dépense",D$2:D687)</f>
        <v>0</v>
      </c>
    </row>
    <row r="688" spans="5:5" x14ac:dyDescent="0.35">
      <c r="E688">
        <f>SUMIF(B$2:B688,"Recette",D$2:D688)-SUMIF(B$2:B688,"Dépense",D$2:D688)</f>
        <v>0</v>
      </c>
    </row>
    <row r="689" spans="5:5" x14ac:dyDescent="0.35">
      <c r="E689">
        <f>SUMIF(B$2:B689,"Recette",D$2:D689)-SUMIF(B$2:B689,"Dépense",D$2:D689)</f>
        <v>0</v>
      </c>
    </row>
    <row r="690" spans="5:5" x14ac:dyDescent="0.35">
      <c r="E690">
        <f>SUMIF(B$2:B690,"Recette",D$2:D690)-SUMIF(B$2:B690,"Dépense",D$2:D690)</f>
        <v>0</v>
      </c>
    </row>
    <row r="691" spans="5:5" x14ac:dyDescent="0.35">
      <c r="E691">
        <f>SUMIF(B$2:B691,"Recette",D$2:D691)-SUMIF(B$2:B691,"Dépense",D$2:D691)</f>
        <v>0</v>
      </c>
    </row>
    <row r="692" spans="5:5" x14ac:dyDescent="0.35">
      <c r="E692">
        <f>SUMIF(B$2:B692,"Recette",D$2:D692)-SUMIF(B$2:B692,"Dépense",D$2:D692)</f>
        <v>0</v>
      </c>
    </row>
    <row r="693" spans="5:5" x14ac:dyDescent="0.35">
      <c r="E693">
        <f>SUMIF(B$2:B693,"Recette",D$2:D693)-SUMIF(B$2:B693,"Dépense",D$2:D693)</f>
        <v>0</v>
      </c>
    </row>
    <row r="694" spans="5:5" x14ac:dyDescent="0.35">
      <c r="E694">
        <f>SUMIF(B$2:B694,"Recette",D$2:D694)-SUMIF(B$2:B694,"Dépense",D$2:D694)</f>
        <v>0</v>
      </c>
    </row>
    <row r="695" spans="5:5" x14ac:dyDescent="0.35">
      <c r="E695">
        <f>SUMIF(B$2:B695,"Recette",D$2:D695)-SUMIF(B$2:B695,"Dépense",D$2:D695)</f>
        <v>0</v>
      </c>
    </row>
    <row r="696" spans="5:5" x14ac:dyDescent="0.35">
      <c r="E696">
        <f>SUMIF(B$2:B696,"Recette",D$2:D696)-SUMIF(B$2:B696,"Dépense",D$2:D696)</f>
        <v>0</v>
      </c>
    </row>
    <row r="697" spans="5:5" x14ac:dyDescent="0.35">
      <c r="E697">
        <f>SUMIF(B$2:B697,"Recette",D$2:D697)-SUMIF(B$2:B697,"Dépense",D$2:D697)</f>
        <v>0</v>
      </c>
    </row>
    <row r="698" spans="5:5" x14ac:dyDescent="0.35">
      <c r="E698">
        <f>SUMIF(B$2:B698,"Recette",D$2:D698)-SUMIF(B$2:B698,"Dépense",D$2:D698)</f>
        <v>0</v>
      </c>
    </row>
    <row r="699" spans="5:5" x14ac:dyDescent="0.35">
      <c r="E699">
        <f>SUMIF(B$2:B699,"Recette",D$2:D699)-SUMIF(B$2:B699,"Dépense",D$2:D699)</f>
        <v>0</v>
      </c>
    </row>
    <row r="700" spans="5:5" x14ac:dyDescent="0.35">
      <c r="E700">
        <f>SUMIF(B$2:B700,"Recette",D$2:D700)-SUMIF(B$2:B700,"Dépense",D$2:D700)</f>
        <v>0</v>
      </c>
    </row>
    <row r="701" spans="5:5" x14ac:dyDescent="0.35">
      <c r="E701">
        <f>SUMIF(B$2:B701,"Recette",D$2:D701)-SUMIF(B$2:B701,"Dépense",D$2:D701)</f>
        <v>0</v>
      </c>
    </row>
    <row r="702" spans="5:5" x14ac:dyDescent="0.35">
      <c r="E702">
        <f>SUMIF(B$2:B702,"Recette",D$2:D702)-SUMIF(B$2:B702,"Dépense",D$2:D702)</f>
        <v>0</v>
      </c>
    </row>
    <row r="703" spans="5:5" x14ac:dyDescent="0.35">
      <c r="E703">
        <f>SUMIF(B$2:B703,"Recette",D$2:D703)-SUMIF(B$2:B703,"Dépense",D$2:D703)</f>
        <v>0</v>
      </c>
    </row>
    <row r="704" spans="5:5" x14ac:dyDescent="0.35">
      <c r="E704">
        <f>SUMIF(B$2:B704,"Recette",D$2:D704)-SUMIF(B$2:B704,"Dépense",D$2:D704)</f>
        <v>0</v>
      </c>
    </row>
    <row r="705" spans="5:5" x14ac:dyDescent="0.35">
      <c r="E705">
        <f>SUMIF(B$2:B705,"Recette",D$2:D705)-SUMIF(B$2:B705,"Dépense",D$2:D705)</f>
        <v>0</v>
      </c>
    </row>
    <row r="706" spans="5:5" x14ac:dyDescent="0.35">
      <c r="E706">
        <f>SUMIF(B$2:B706,"Recette",D$2:D706)-SUMIF(B$2:B706,"Dépense",D$2:D706)</f>
        <v>0</v>
      </c>
    </row>
    <row r="707" spans="5:5" x14ac:dyDescent="0.35">
      <c r="E707">
        <f>SUMIF(B$2:B707,"Recette",D$2:D707)-SUMIF(B$2:B707,"Dépense",D$2:D707)</f>
        <v>0</v>
      </c>
    </row>
    <row r="708" spans="5:5" x14ac:dyDescent="0.35">
      <c r="E708">
        <f>SUMIF(B$2:B708,"Recette",D$2:D708)-SUMIF(B$2:B708,"Dépense",D$2:D708)</f>
        <v>0</v>
      </c>
    </row>
    <row r="709" spans="5:5" x14ac:dyDescent="0.35">
      <c r="E709">
        <f>SUMIF(B$2:B709,"Recette",D$2:D709)-SUMIF(B$2:B709,"Dépense",D$2:D709)</f>
        <v>0</v>
      </c>
    </row>
    <row r="710" spans="5:5" x14ac:dyDescent="0.35">
      <c r="E710">
        <f>SUMIF(B$2:B710,"Recette",D$2:D710)-SUMIF(B$2:B710,"Dépense",D$2:D710)</f>
        <v>0</v>
      </c>
    </row>
    <row r="711" spans="5:5" x14ac:dyDescent="0.35">
      <c r="E711">
        <f>SUMIF(B$2:B711,"Recette",D$2:D711)-SUMIF(B$2:B711,"Dépense",D$2:D711)</f>
        <v>0</v>
      </c>
    </row>
    <row r="712" spans="5:5" x14ac:dyDescent="0.35">
      <c r="E712">
        <f>SUMIF(B$2:B712,"Recette",D$2:D712)-SUMIF(B$2:B712,"Dépense",D$2:D712)</f>
        <v>0</v>
      </c>
    </row>
    <row r="713" spans="5:5" x14ac:dyDescent="0.35">
      <c r="E713">
        <f>SUMIF(B$2:B713,"Recette",D$2:D713)-SUMIF(B$2:B713,"Dépense",D$2:D713)</f>
        <v>0</v>
      </c>
    </row>
    <row r="714" spans="5:5" x14ac:dyDescent="0.35">
      <c r="E714">
        <f>SUMIF(B$2:B714,"Recette",D$2:D714)-SUMIF(B$2:B714,"Dépense",D$2:D714)</f>
        <v>0</v>
      </c>
    </row>
    <row r="715" spans="5:5" x14ac:dyDescent="0.35">
      <c r="E715">
        <f>SUMIF(B$2:B715,"Recette",D$2:D715)-SUMIF(B$2:B715,"Dépense",D$2:D715)</f>
        <v>0</v>
      </c>
    </row>
    <row r="716" spans="5:5" x14ac:dyDescent="0.35">
      <c r="E716">
        <f>SUMIF(B$2:B716,"Recette",D$2:D716)-SUMIF(B$2:B716,"Dépense",D$2:D716)</f>
        <v>0</v>
      </c>
    </row>
    <row r="717" spans="5:5" x14ac:dyDescent="0.35">
      <c r="E717">
        <f>SUMIF(B$2:B717,"Recette",D$2:D717)-SUMIF(B$2:B717,"Dépense",D$2:D717)</f>
        <v>0</v>
      </c>
    </row>
    <row r="718" spans="5:5" x14ac:dyDescent="0.35">
      <c r="E718">
        <f>SUMIF(B$2:B718,"Recette",D$2:D718)-SUMIF(B$2:B718,"Dépense",D$2:D718)</f>
        <v>0</v>
      </c>
    </row>
    <row r="719" spans="5:5" x14ac:dyDescent="0.35">
      <c r="E719">
        <f>SUMIF(B$2:B719,"Recette",D$2:D719)-SUMIF(B$2:B719,"Dépense",D$2:D719)</f>
        <v>0</v>
      </c>
    </row>
    <row r="720" spans="5:5" x14ac:dyDescent="0.35">
      <c r="E720">
        <f>SUMIF(B$2:B720,"Recette",D$2:D720)-SUMIF(B$2:B720,"Dépense",D$2:D720)</f>
        <v>0</v>
      </c>
    </row>
    <row r="721" spans="5:5" x14ac:dyDescent="0.35">
      <c r="E721">
        <f>SUMIF(B$2:B721,"Recette",D$2:D721)-SUMIF(B$2:B721,"Dépense",D$2:D721)</f>
        <v>0</v>
      </c>
    </row>
    <row r="722" spans="5:5" x14ac:dyDescent="0.35">
      <c r="E722">
        <f>SUMIF(B$2:B722,"Recette",D$2:D722)-SUMIF(B$2:B722,"Dépense",D$2:D722)</f>
        <v>0</v>
      </c>
    </row>
    <row r="723" spans="5:5" x14ac:dyDescent="0.35">
      <c r="E723">
        <f>SUMIF(B$2:B723,"Recette",D$2:D723)-SUMIF(B$2:B723,"Dépense",D$2:D723)</f>
        <v>0</v>
      </c>
    </row>
    <row r="724" spans="5:5" x14ac:dyDescent="0.35">
      <c r="E724">
        <f>SUMIF(B$2:B724,"Recette",D$2:D724)-SUMIF(B$2:B724,"Dépense",D$2:D724)</f>
        <v>0</v>
      </c>
    </row>
    <row r="725" spans="5:5" x14ac:dyDescent="0.35">
      <c r="E725">
        <f>SUMIF(B$2:B725,"Recette",D$2:D725)-SUMIF(B$2:B725,"Dépense",D$2:D725)</f>
        <v>0</v>
      </c>
    </row>
    <row r="726" spans="5:5" x14ac:dyDescent="0.35">
      <c r="E726">
        <f>SUMIF(B$2:B726,"Recette",D$2:D726)-SUMIF(B$2:B726,"Dépense",D$2:D726)</f>
        <v>0</v>
      </c>
    </row>
    <row r="727" spans="5:5" x14ac:dyDescent="0.35">
      <c r="E727">
        <f>SUMIF(B$2:B727,"Recette",D$2:D727)-SUMIF(B$2:B727,"Dépense",D$2:D727)</f>
        <v>0</v>
      </c>
    </row>
    <row r="728" spans="5:5" x14ac:dyDescent="0.35">
      <c r="E728">
        <f>SUMIF(B$2:B728,"Recette",D$2:D728)-SUMIF(B$2:B728,"Dépense",D$2:D728)</f>
        <v>0</v>
      </c>
    </row>
    <row r="729" spans="5:5" x14ac:dyDescent="0.35">
      <c r="E729">
        <f>SUMIF(B$2:B729,"Recette",D$2:D729)-SUMIF(B$2:B729,"Dépense",D$2:D729)</f>
        <v>0</v>
      </c>
    </row>
    <row r="730" spans="5:5" x14ac:dyDescent="0.35">
      <c r="E730">
        <f>SUMIF(B$2:B730,"Recette",D$2:D730)-SUMIF(B$2:B730,"Dépense",D$2:D730)</f>
        <v>0</v>
      </c>
    </row>
    <row r="731" spans="5:5" x14ac:dyDescent="0.35">
      <c r="E731">
        <f>SUMIF(B$2:B731,"Recette",D$2:D731)-SUMIF(B$2:B731,"Dépense",D$2:D731)</f>
        <v>0</v>
      </c>
    </row>
    <row r="732" spans="5:5" x14ac:dyDescent="0.35">
      <c r="E732">
        <f>SUMIF(B$2:B732,"Recette",D$2:D732)-SUMIF(B$2:B732,"Dépense",D$2:D732)</f>
        <v>0</v>
      </c>
    </row>
    <row r="733" spans="5:5" x14ac:dyDescent="0.35">
      <c r="E733">
        <f>SUMIF(B$2:B733,"Recette",D$2:D733)-SUMIF(B$2:B733,"Dépense",D$2:D733)</f>
        <v>0</v>
      </c>
    </row>
    <row r="734" spans="5:5" x14ac:dyDescent="0.35">
      <c r="E734">
        <f>SUMIF(B$2:B734,"Recette",D$2:D734)-SUMIF(B$2:B734,"Dépense",D$2:D734)</f>
        <v>0</v>
      </c>
    </row>
    <row r="735" spans="5:5" x14ac:dyDescent="0.35">
      <c r="E735">
        <f>SUMIF(B$2:B735,"Recette",D$2:D735)-SUMIF(B$2:B735,"Dépense",D$2:D735)</f>
        <v>0</v>
      </c>
    </row>
    <row r="736" spans="5:5" x14ac:dyDescent="0.35">
      <c r="E736">
        <f>SUMIF(B$2:B736,"Recette",D$2:D736)-SUMIF(B$2:B736,"Dépense",D$2:D736)</f>
        <v>0</v>
      </c>
    </row>
    <row r="737" spans="5:5" x14ac:dyDescent="0.35">
      <c r="E737">
        <f>SUMIF(B$2:B737,"Recette",D$2:D737)-SUMIF(B$2:B737,"Dépense",D$2:D737)</f>
        <v>0</v>
      </c>
    </row>
    <row r="738" spans="5:5" x14ac:dyDescent="0.35">
      <c r="E738">
        <f>SUMIF(B$2:B738,"Recette",D$2:D738)-SUMIF(B$2:B738,"Dépense",D$2:D738)</f>
        <v>0</v>
      </c>
    </row>
    <row r="739" spans="5:5" x14ac:dyDescent="0.35">
      <c r="E739">
        <f>SUMIF(B$2:B739,"Recette",D$2:D739)-SUMIF(B$2:B739,"Dépense",D$2:D739)</f>
        <v>0</v>
      </c>
    </row>
    <row r="740" spans="5:5" x14ac:dyDescent="0.35">
      <c r="E740">
        <f>SUMIF(B$2:B740,"Recette",D$2:D740)-SUMIF(B$2:B740,"Dépense",D$2:D740)</f>
        <v>0</v>
      </c>
    </row>
    <row r="741" spans="5:5" x14ac:dyDescent="0.35">
      <c r="E741">
        <f>SUMIF(B$2:B741,"Recette",D$2:D741)-SUMIF(B$2:B741,"Dépense",D$2:D741)</f>
        <v>0</v>
      </c>
    </row>
    <row r="742" spans="5:5" x14ac:dyDescent="0.35">
      <c r="E742">
        <f>SUMIF(B$2:B742,"Recette",D$2:D742)-SUMIF(B$2:B742,"Dépense",D$2:D742)</f>
        <v>0</v>
      </c>
    </row>
    <row r="743" spans="5:5" x14ac:dyDescent="0.35">
      <c r="E743">
        <f>SUMIF(B$2:B743,"Recette",D$2:D743)-SUMIF(B$2:B743,"Dépense",D$2:D743)</f>
        <v>0</v>
      </c>
    </row>
    <row r="744" spans="5:5" x14ac:dyDescent="0.35">
      <c r="E744">
        <f>SUMIF(B$2:B744,"Recette",D$2:D744)-SUMIF(B$2:B744,"Dépense",D$2:D744)</f>
        <v>0</v>
      </c>
    </row>
    <row r="745" spans="5:5" x14ac:dyDescent="0.35">
      <c r="E745">
        <f>SUMIF(B$2:B745,"Recette",D$2:D745)-SUMIF(B$2:B745,"Dépense",D$2:D745)</f>
        <v>0</v>
      </c>
    </row>
    <row r="746" spans="5:5" x14ac:dyDescent="0.35">
      <c r="E746">
        <f>SUMIF(B$2:B746,"Recette",D$2:D746)-SUMIF(B$2:B746,"Dépense",D$2:D746)</f>
        <v>0</v>
      </c>
    </row>
    <row r="747" spans="5:5" x14ac:dyDescent="0.35">
      <c r="E747">
        <f>SUMIF(B$2:B747,"Recette",D$2:D747)-SUMIF(B$2:B747,"Dépense",D$2:D747)</f>
        <v>0</v>
      </c>
    </row>
    <row r="748" spans="5:5" x14ac:dyDescent="0.35">
      <c r="E748">
        <f>SUMIF(B$2:B748,"Recette",D$2:D748)-SUMIF(B$2:B748,"Dépense",D$2:D748)</f>
        <v>0</v>
      </c>
    </row>
    <row r="749" spans="5:5" x14ac:dyDescent="0.35">
      <c r="E749">
        <f>SUMIF(B$2:B749,"Recette",D$2:D749)-SUMIF(B$2:B749,"Dépense",D$2:D749)</f>
        <v>0</v>
      </c>
    </row>
    <row r="750" spans="5:5" x14ac:dyDescent="0.35">
      <c r="E750">
        <f>SUMIF(B$2:B750,"Recette",D$2:D750)-SUMIF(B$2:B750,"Dépense",D$2:D750)</f>
        <v>0</v>
      </c>
    </row>
    <row r="751" spans="5:5" x14ac:dyDescent="0.35">
      <c r="E751">
        <f>SUMIF(B$2:B751,"Recette",D$2:D751)-SUMIF(B$2:B751,"Dépense",D$2:D751)</f>
        <v>0</v>
      </c>
    </row>
    <row r="752" spans="5:5" x14ac:dyDescent="0.35">
      <c r="E752">
        <f>SUMIF(B$2:B752,"Recette",D$2:D752)-SUMIF(B$2:B752,"Dépense",D$2:D752)</f>
        <v>0</v>
      </c>
    </row>
    <row r="753" spans="5:5" x14ac:dyDescent="0.35">
      <c r="E753">
        <f>SUMIF(B$2:B753,"Recette",D$2:D753)-SUMIF(B$2:B753,"Dépense",D$2:D753)</f>
        <v>0</v>
      </c>
    </row>
    <row r="754" spans="5:5" x14ac:dyDescent="0.35">
      <c r="E754">
        <f>SUMIF(B$2:B754,"Recette",D$2:D754)-SUMIF(B$2:B754,"Dépense",D$2:D754)</f>
        <v>0</v>
      </c>
    </row>
    <row r="755" spans="5:5" x14ac:dyDescent="0.35">
      <c r="E755">
        <f>SUMIF(B$2:B755,"Recette",D$2:D755)-SUMIF(B$2:B755,"Dépense",D$2:D755)</f>
        <v>0</v>
      </c>
    </row>
    <row r="756" spans="5:5" x14ac:dyDescent="0.35">
      <c r="E756">
        <f>SUMIF(B$2:B756,"Recette",D$2:D756)-SUMIF(B$2:B756,"Dépense",D$2:D756)</f>
        <v>0</v>
      </c>
    </row>
    <row r="757" spans="5:5" x14ac:dyDescent="0.35">
      <c r="E757">
        <f>SUMIF(B$2:B757,"Recette",D$2:D757)-SUMIF(B$2:B757,"Dépense",D$2:D757)</f>
        <v>0</v>
      </c>
    </row>
    <row r="758" spans="5:5" x14ac:dyDescent="0.35">
      <c r="E758">
        <f>SUMIF(B$2:B758,"Recette",D$2:D758)-SUMIF(B$2:B758,"Dépense",D$2:D758)</f>
        <v>0</v>
      </c>
    </row>
    <row r="759" spans="5:5" x14ac:dyDescent="0.35">
      <c r="E759">
        <f>SUMIF(B$2:B759,"Recette",D$2:D759)-SUMIF(B$2:B759,"Dépense",D$2:D759)</f>
        <v>0</v>
      </c>
    </row>
    <row r="760" spans="5:5" x14ac:dyDescent="0.35">
      <c r="E760">
        <f>SUMIF(B$2:B760,"Recette",D$2:D760)-SUMIF(B$2:B760,"Dépense",D$2:D760)</f>
        <v>0</v>
      </c>
    </row>
    <row r="761" spans="5:5" x14ac:dyDescent="0.35">
      <c r="E761">
        <f>SUMIF(B$2:B761,"Recette",D$2:D761)-SUMIF(B$2:B761,"Dépense",D$2:D761)</f>
        <v>0</v>
      </c>
    </row>
    <row r="762" spans="5:5" x14ac:dyDescent="0.35">
      <c r="E762">
        <f>SUMIF(B$2:B762,"Recette",D$2:D762)-SUMIF(B$2:B762,"Dépense",D$2:D762)</f>
        <v>0</v>
      </c>
    </row>
    <row r="763" spans="5:5" x14ac:dyDescent="0.35">
      <c r="E763">
        <f>SUMIF(B$2:B763,"Recette",D$2:D763)-SUMIF(B$2:B763,"Dépense",D$2:D763)</f>
        <v>0</v>
      </c>
    </row>
    <row r="764" spans="5:5" x14ac:dyDescent="0.35">
      <c r="E764">
        <f>SUMIF(B$2:B764,"Recette",D$2:D764)-SUMIF(B$2:B764,"Dépense",D$2:D764)</f>
        <v>0</v>
      </c>
    </row>
    <row r="765" spans="5:5" x14ac:dyDescent="0.35">
      <c r="E765">
        <f>SUMIF(B$2:B765,"Recette",D$2:D765)-SUMIF(B$2:B765,"Dépense",D$2:D765)</f>
        <v>0</v>
      </c>
    </row>
    <row r="766" spans="5:5" x14ac:dyDescent="0.35">
      <c r="E766">
        <f>SUMIF(B$2:B766,"Recette",D$2:D766)-SUMIF(B$2:B766,"Dépense",D$2:D766)</f>
        <v>0</v>
      </c>
    </row>
    <row r="767" spans="5:5" x14ac:dyDescent="0.35">
      <c r="E767">
        <f>SUMIF(B$2:B767,"Recette",D$2:D767)-SUMIF(B$2:B767,"Dépense",D$2:D767)</f>
        <v>0</v>
      </c>
    </row>
    <row r="768" spans="5:5" x14ac:dyDescent="0.35">
      <c r="E768">
        <f>SUMIF(B$2:B768,"Recette",D$2:D768)-SUMIF(B$2:B768,"Dépense",D$2:D768)</f>
        <v>0</v>
      </c>
    </row>
    <row r="769" spans="5:5" x14ac:dyDescent="0.35">
      <c r="E769">
        <f>SUMIF(B$2:B769,"Recette",D$2:D769)-SUMIF(B$2:B769,"Dépense",D$2:D769)</f>
        <v>0</v>
      </c>
    </row>
    <row r="770" spans="5:5" x14ac:dyDescent="0.35">
      <c r="E770">
        <f>SUMIF(B$2:B770,"Recette",D$2:D770)-SUMIF(B$2:B770,"Dépense",D$2:D770)</f>
        <v>0</v>
      </c>
    </row>
    <row r="771" spans="5:5" x14ac:dyDescent="0.35">
      <c r="E771">
        <f>SUMIF(B$2:B771,"Recette",D$2:D771)-SUMIF(B$2:B771,"Dépense",D$2:D771)</f>
        <v>0</v>
      </c>
    </row>
    <row r="772" spans="5:5" x14ac:dyDescent="0.35">
      <c r="E772">
        <f>SUMIF(B$2:B772,"Recette",D$2:D772)-SUMIF(B$2:B772,"Dépense",D$2:D772)</f>
        <v>0</v>
      </c>
    </row>
    <row r="773" spans="5:5" x14ac:dyDescent="0.35">
      <c r="E773">
        <f>SUMIF(B$2:B773,"Recette",D$2:D773)-SUMIF(B$2:B773,"Dépense",D$2:D773)</f>
        <v>0</v>
      </c>
    </row>
    <row r="774" spans="5:5" x14ac:dyDescent="0.35">
      <c r="E774">
        <f>SUMIF(B$2:B774,"Recette",D$2:D774)-SUMIF(B$2:B774,"Dépense",D$2:D774)</f>
        <v>0</v>
      </c>
    </row>
    <row r="775" spans="5:5" x14ac:dyDescent="0.35">
      <c r="E775">
        <f>SUMIF(B$2:B775,"Recette",D$2:D775)-SUMIF(B$2:B775,"Dépense",D$2:D775)</f>
        <v>0</v>
      </c>
    </row>
    <row r="776" spans="5:5" x14ac:dyDescent="0.35">
      <c r="E776">
        <f>SUMIF(B$2:B776,"Recette",D$2:D776)-SUMIF(B$2:B776,"Dépense",D$2:D776)</f>
        <v>0</v>
      </c>
    </row>
    <row r="777" spans="5:5" x14ac:dyDescent="0.35">
      <c r="E777">
        <f>SUMIF(B$2:B777,"Recette",D$2:D777)-SUMIF(B$2:B777,"Dépense",D$2:D777)</f>
        <v>0</v>
      </c>
    </row>
    <row r="778" spans="5:5" x14ac:dyDescent="0.35">
      <c r="E778">
        <f>SUMIF(B$2:B778,"Recette",D$2:D778)-SUMIF(B$2:B778,"Dépense",D$2:D778)</f>
        <v>0</v>
      </c>
    </row>
    <row r="779" spans="5:5" x14ac:dyDescent="0.35">
      <c r="E779">
        <f>SUMIF(B$2:B779,"Recette",D$2:D779)-SUMIF(B$2:B779,"Dépense",D$2:D779)</f>
        <v>0</v>
      </c>
    </row>
    <row r="780" spans="5:5" x14ac:dyDescent="0.35">
      <c r="E780">
        <f>SUMIF(B$2:B780,"Recette",D$2:D780)-SUMIF(B$2:B780,"Dépense",D$2:D780)</f>
        <v>0</v>
      </c>
    </row>
    <row r="781" spans="5:5" x14ac:dyDescent="0.35">
      <c r="E781">
        <f>SUMIF(B$2:B781,"Recette",D$2:D781)-SUMIF(B$2:B781,"Dépense",D$2:D781)</f>
        <v>0</v>
      </c>
    </row>
    <row r="782" spans="5:5" x14ac:dyDescent="0.35">
      <c r="E782">
        <f>SUMIF(B$2:B782,"Recette",D$2:D782)-SUMIF(B$2:B782,"Dépense",D$2:D782)</f>
        <v>0</v>
      </c>
    </row>
    <row r="783" spans="5:5" x14ac:dyDescent="0.35">
      <c r="E783">
        <f>SUMIF(B$2:B783,"Recette",D$2:D783)-SUMIF(B$2:B783,"Dépense",D$2:D783)</f>
        <v>0</v>
      </c>
    </row>
    <row r="784" spans="5:5" x14ac:dyDescent="0.35">
      <c r="E784">
        <f>SUMIF(B$2:B784,"Recette",D$2:D784)-SUMIF(B$2:B784,"Dépense",D$2:D784)</f>
        <v>0</v>
      </c>
    </row>
    <row r="785" spans="5:5" x14ac:dyDescent="0.35">
      <c r="E785">
        <f>SUMIF(B$2:B785,"Recette",D$2:D785)-SUMIF(B$2:B785,"Dépense",D$2:D785)</f>
        <v>0</v>
      </c>
    </row>
    <row r="786" spans="5:5" x14ac:dyDescent="0.35">
      <c r="E786">
        <f>SUMIF(B$2:B786,"Recette",D$2:D786)-SUMIF(B$2:B786,"Dépense",D$2:D786)</f>
        <v>0</v>
      </c>
    </row>
    <row r="787" spans="5:5" x14ac:dyDescent="0.35">
      <c r="E787">
        <f>SUMIF(B$2:B787,"Recette",D$2:D787)-SUMIF(B$2:B787,"Dépense",D$2:D787)</f>
        <v>0</v>
      </c>
    </row>
    <row r="788" spans="5:5" x14ac:dyDescent="0.35">
      <c r="E788">
        <f>SUMIF(B$2:B788,"Recette",D$2:D788)-SUMIF(B$2:B788,"Dépense",D$2:D788)</f>
        <v>0</v>
      </c>
    </row>
    <row r="789" spans="5:5" x14ac:dyDescent="0.35">
      <c r="E789">
        <f>SUMIF(B$2:B789,"Recette",D$2:D789)-SUMIF(B$2:B789,"Dépense",D$2:D789)</f>
        <v>0</v>
      </c>
    </row>
    <row r="790" spans="5:5" x14ac:dyDescent="0.35">
      <c r="E790">
        <f>SUMIF(B$2:B790,"Recette",D$2:D790)-SUMIF(B$2:B790,"Dépense",D$2:D790)</f>
        <v>0</v>
      </c>
    </row>
    <row r="791" spans="5:5" x14ac:dyDescent="0.35">
      <c r="E791">
        <f>SUMIF(B$2:B791,"Recette",D$2:D791)-SUMIF(B$2:B791,"Dépense",D$2:D791)</f>
        <v>0</v>
      </c>
    </row>
    <row r="792" spans="5:5" x14ac:dyDescent="0.35">
      <c r="E792">
        <f>SUMIF(B$2:B792,"Recette",D$2:D792)-SUMIF(B$2:B792,"Dépense",D$2:D792)</f>
        <v>0</v>
      </c>
    </row>
    <row r="793" spans="5:5" x14ac:dyDescent="0.35">
      <c r="E793">
        <f>SUMIF(B$2:B793,"Recette",D$2:D793)-SUMIF(B$2:B793,"Dépense",D$2:D793)</f>
        <v>0</v>
      </c>
    </row>
    <row r="794" spans="5:5" x14ac:dyDescent="0.35">
      <c r="E794">
        <f>SUMIF(B$2:B794,"Recette",D$2:D794)-SUMIF(B$2:B794,"Dépense",D$2:D794)</f>
        <v>0</v>
      </c>
    </row>
    <row r="795" spans="5:5" x14ac:dyDescent="0.35">
      <c r="E795">
        <f>SUMIF(B$2:B795,"Recette",D$2:D795)-SUMIF(B$2:B795,"Dépense",D$2:D795)</f>
        <v>0</v>
      </c>
    </row>
    <row r="796" spans="5:5" x14ac:dyDescent="0.35">
      <c r="E796">
        <f>SUMIF(B$2:B796,"Recette",D$2:D796)-SUMIF(B$2:B796,"Dépense",D$2:D796)</f>
        <v>0</v>
      </c>
    </row>
    <row r="797" spans="5:5" x14ac:dyDescent="0.35">
      <c r="E797">
        <f>SUMIF(B$2:B797,"Recette",D$2:D797)-SUMIF(B$2:B797,"Dépense",D$2:D797)</f>
        <v>0</v>
      </c>
    </row>
    <row r="798" spans="5:5" x14ac:dyDescent="0.35">
      <c r="E798">
        <f>SUMIF(B$2:B798,"Recette",D$2:D798)-SUMIF(B$2:B798,"Dépense",D$2:D798)</f>
        <v>0</v>
      </c>
    </row>
    <row r="799" spans="5:5" x14ac:dyDescent="0.35">
      <c r="E799">
        <f>SUMIF(B$2:B799,"Recette",D$2:D799)-SUMIF(B$2:B799,"Dépense",D$2:D799)</f>
        <v>0</v>
      </c>
    </row>
    <row r="800" spans="5:5" x14ac:dyDescent="0.35">
      <c r="E800">
        <f>SUMIF(B$2:B800,"Recette",D$2:D800)-SUMIF(B$2:B800,"Dépense",D$2:D800)</f>
        <v>0</v>
      </c>
    </row>
    <row r="801" spans="5:5" x14ac:dyDescent="0.35">
      <c r="E801">
        <f>SUMIF(B$2:B801,"Recette",D$2:D801)-SUMIF(B$2:B801,"Dépense",D$2:D801)</f>
        <v>0</v>
      </c>
    </row>
    <row r="802" spans="5:5" x14ac:dyDescent="0.35">
      <c r="E802">
        <f>SUMIF(B$2:B802,"Recette",D$2:D802)-SUMIF(B$2:B802,"Dépense",D$2:D802)</f>
        <v>0</v>
      </c>
    </row>
    <row r="803" spans="5:5" x14ac:dyDescent="0.35">
      <c r="E803">
        <f>SUMIF(B$2:B803,"Recette",D$2:D803)-SUMIF(B$2:B803,"Dépense",D$2:D803)</f>
        <v>0</v>
      </c>
    </row>
    <row r="804" spans="5:5" x14ac:dyDescent="0.35">
      <c r="E804">
        <f>SUMIF(B$2:B804,"Recette",D$2:D804)-SUMIF(B$2:B804,"Dépense",D$2:D804)</f>
        <v>0</v>
      </c>
    </row>
    <row r="805" spans="5:5" x14ac:dyDescent="0.35">
      <c r="E805">
        <f>SUMIF(B$2:B805,"Recette",D$2:D805)-SUMIF(B$2:B805,"Dépense",D$2:D805)</f>
        <v>0</v>
      </c>
    </row>
    <row r="806" spans="5:5" x14ac:dyDescent="0.35">
      <c r="E806">
        <f>SUMIF(B$2:B806,"Recette",D$2:D806)-SUMIF(B$2:B806,"Dépense",D$2:D806)</f>
        <v>0</v>
      </c>
    </row>
    <row r="807" spans="5:5" x14ac:dyDescent="0.35">
      <c r="E807">
        <f>SUMIF(B$2:B807,"Recette",D$2:D807)-SUMIF(B$2:B807,"Dépense",D$2:D807)</f>
        <v>0</v>
      </c>
    </row>
    <row r="808" spans="5:5" x14ac:dyDescent="0.35">
      <c r="E808">
        <f>SUMIF(B$2:B808,"Recette",D$2:D808)-SUMIF(B$2:B808,"Dépense",D$2:D808)</f>
        <v>0</v>
      </c>
    </row>
    <row r="809" spans="5:5" x14ac:dyDescent="0.35">
      <c r="E809">
        <f>SUMIF(B$2:B809,"Recette",D$2:D809)-SUMIF(B$2:B809,"Dépense",D$2:D809)</f>
        <v>0</v>
      </c>
    </row>
    <row r="810" spans="5:5" x14ac:dyDescent="0.35">
      <c r="E810">
        <f>SUMIF(B$2:B810,"Recette",D$2:D810)-SUMIF(B$2:B810,"Dépense",D$2:D810)</f>
        <v>0</v>
      </c>
    </row>
    <row r="811" spans="5:5" x14ac:dyDescent="0.35">
      <c r="E811">
        <f>SUMIF(B$2:B811,"Recette",D$2:D811)-SUMIF(B$2:B811,"Dépense",D$2:D811)</f>
        <v>0</v>
      </c>
    </row>
    <row r="812" spans="5:5" x14ac:dyDescent="0.35">
      <c r="E812">
        <f>SUMIF(B$2:B812,"Recette",D$2:D812)-SUMIF(B$2:B812,"Dépense",D$2:D812)</f>
        <v>0</v>
      </c>
    </row>
    <row r="813" spans="5:5" x14ac:dyDescent="0.35">
      <c r="E813">
        <f>SUMIF(B$2:B813,"Recette",D$2:D813)-SUMIF(B$2:B813,"Dépense",D$2:D813)</f>
        <v>0</v>
      </c>
    </row>
    <row r="814" spans="5:5" x14ac:dyDescent="0.35">
      <c r="E814">
        <f>SUMIF(B$2:B814,"Recette",D$2:D814)-SUMIF(B$2:B814,"Dépense",D$2:D814)</f>
        <v>0</v>
      </c>
    </row>
    <row r="815" spans="5:5" x14ac:dyDescent="0.35">
      <c r="E815">
        <f>SUMIF(B$2:B815,"Recette",D$2:D815)-SUMIF(B$2:B815,"Dépense",D$2:D815)</f>
        <v>0</v>
      </c>
    </row>
    <row r="816" spans="5:5" x14ac:dyDescent="0.35">
      <c r="E816">
        <f>SUMIF(B$2:B816,"Recette",D$2:D816)-SUMIF(B$2:B816,"Dépense",D$2:D816)</f>
        <v>0</v>
      </c>
    </row>
    <row r="817" spans="5:5" x14ac:dyDescent="0.35">
      <c r="E817">
        <f>SUMIF(B$2:B817,"Recette",D$2:D817)-SUMIF(B$2:B817,"Dépense",D$2:D817)</f>
        <v>0</v>
      </c>
    </row>
    <row r="818" spans="5:5" x14ac:dyDescent="0.35">
      <c r="E818">
        <f>SUMIF(B$2:B818,"Recette",D$2:D818)-SUMIF(B$2:B818,"Dépense",D$2:D818)</f>
        <v>0</v>
      </c>
    </row>
    <row r="819" spans="5:5" x14ac:dyDescent="0.35">
      <c r="E819">
        <f>SUMIF(B$2:B819,"Recette",D$2:D819)-SUMIF(B$2:B819,"Dépense",D$2:D819)</f>
        <v>0</v>
      </c>
    </row>
    <row r="820" spans="5:5" x14ac:dyDescent="0.35">
      <c r="E820">
        <f>SUMIF(B$2:B820,"Recette",D$2:D820)-SUMIF(B$2:B820,"Dépense",D$2:D820)</f>
        <v>0</v>
      </c>
    </row>
    <row r="821" spans="5:5" x14ac:dyDescent="0.35">
      <c r="E821">
        <f>SUMIF(B$2:B821,"Recette",D$2:D821)-SUMIF(B$2:B821,"Dépense",D$2:D821)</f>
        <v>0</v>
      </c>
    </row>
    <row r="822" spans="5:5" x14ac:dyDescent="0.35">
      <c r="E822">
        <f>SUMIF(B$2:B822,"Recette",D$2:D822)-SUMIF(B$2:B822,"Dépense",D$2:D822)</f>
        <v>0</v>
      </c>
    </row>
    <row r="823" spans="5:5" x14ac:dyDescent="0.35">
      <c r="E823">
        <f>SUMIF(B$2:B823,"Recette",D$2:D823)-SUMIF(B$2:B823,"Dépense",D$2:D823)</f>
        <v>0</v>
      </c>
    </row>
    <row r="824" spans="5:5" x14ac:dyDescent="0.35">
      <c r="E824">
        <f>SUMIF(B$2:B824,"Recette",D$2:D824)-SUMIF(B$2:B824,"Dépense",D$2:D824)</f>
        <v>0</v>
      </c>
    </row>
    <row r="825" spans="5:5" x14ac:dyDescent="0.35">
      <c r="E825">
        <f>SUMIF(B$2:B825,"Recette",D$2:D825)-SUMIF(B$2:B825,"Dépense",D$2:D825)</f>
        <v>0</v>
      </c>
    </row>
    <row r="826" spans="5:5" x14ac:dyDescent="0.35">
      <c r="E826">
        <f>SUMIF(B$2:B826,"Recette",D$2:D826)-SUMIF(B$2:B826,"Dépense",D$2:D826)</f>
        <v>0</v>
      </c>
    </row>
    <row r="827" spans="5:5" x14ac:dyDescent="0.35">
      <c r="E827">
        <f>SUMIF(B$2:B827,"Recette",D$2:D827)-SUMIF(B$2:B827,"Dépense",D$2:D827)</f>
        <v>0</v>
      </c>
    </row>
    <row r="828" spans="5:5" x14ac:dyDescent="0.35">
      <c r="E828">
        <f>SUMIF(B$2:B828,"Recette",D$2:D828)-SUMIF(B$2:B828,"Dépense",D$2:D828)</f>
        <v>0</v>
      </c>
    </row>
    <row r="829" spans="5:5" x14ac:dyDescent="0.35">
      <c r="E829">
        <f>SUMIF(B$2:B829,"Recette",D$2:D829)-SUMIF(B$2:B829,"Dépense",D$2:D829)</f>
        <v>0</v>
      </c>
    </row>
    <row r="830" spans="5:5" x14ac:dyDescent="0.35">
      <c r="E830">
        <f>SUMIF(B$2:B830,"Recette",D$2:D830)-SUMIF(B$2:B830,"Dépense",D$2:D830)</f>
        <v>0</v>
      </c>
    </row>
    <row r="831" spans="5:5" x14ac:dyDescent="0.35">
      <c r="E831">
        <f>SUMIF(B$2:B831,"Recette",D$2:D831)-SUMIF(B$2:B831,"Dépense",D$2:D831)</f>
        <v>0</v>
      </c>
    </row>
    <row r="832" spans="5:5" x14ac:dyDescent="0.35">
      <c r="E832">
        <f>SUMIF(B$2:B832,"Recette",D$2:D832)-SUMIF(B$2:B832,"Dépense",D$2:D832)</f>
        <v>0</v>
      </c>
    </row>
    <row r="833" spans="5:5" x14ac:dyDescent="0.35">
      <c r="E833">
        <f>SUMIF(B$2:B833,"Recette",D$2:D833)-SUMIF(B$2:B833,"Dépense",D$2:D833)</f>
        <v>0</v>
      </c>
    </row>
    <row r="834" spans="5:5" x14ac:dyDescent="0.35">
      <c r="E834">
        <f>SUMIF(B$2:B834,"Recette",D$2:D834)-SUMIF(B$2:B834,"Dépense",D$2:D834)</f>
        <v>0</v>
      </c>
    </row>
    <row r="835" spans="5:5" x14ac:dyDescent="0.35">
      <c r="E835">
        <f>SUMIF(B$2:B835,"Recette",D$2:D835)-SUMIF(B$2:B835,"Dépense",D$2:D835)</f>
        <v>0</v>
      </c>
    </row>
    <row r="836" spans="5:5" x14ac:dyDescent="0.35">
      <c r="E836">
        <f>SUMIF(B$2:B836,"Recette",D$2:D836)-SUMIF(B$2:B836,"Dépense",D$2:D836)</f>
        <v>0</v>
      </c>
    </row>
    <row r="837" spans="5:5" x14ac:dyDescent="0.35">
      <c r="E837">
        <f>SUMIF(B$2:B837,"Recette",D$2:D837)-SUMIF(B$2:B837,"Dépense",D$2:D837)</f>
        <v>0</v>
      </c>
    </row>
    <row r="838" spans="5:5" x14ac:dyDescent="0.35">
      <c r="E838">
        <f>SUMIF(B$2:B838,"Recette",D$2:D838)-SUMIF(B$2:B838,"Dépense",D$2:D838)</f>
        <v>0</v>
      </c>
    </row>
    <row r="839" spans="5:5" x14ac:dyDescent="0.35">
      <c r="E839">
        <f>SUMIF(B$2:B839,"Recette",D$2:D839)-SUMIF(B$2:B839,"Dépense",D$2:D839)</f>
        <v>0</v>
      </c>
    </row>
    <row r="840" spans="5:5" x14ac:dyDescent="0.35">
      <c r="E840">
        <f>SUMIF(B$2:B840,"Recette",D$2:D840)-SUMIF(B$2:B840,"Dépense",D$2:D840)</f>
        <v>0</v>
      </c>
    </row>
    <row r="841" spans="5:5" x14ac:dyDescent="0.35">
      <c r="E841">
        <f>SUMIF(B$2:B841,"Recette",D$2:D841)-SUMIF(B$2:B841,"Dépense",D$2:D841)</f>
        <v>0</v>
      </c>
    </row>
    <row r="842" spans="5:5" x14ac:dyDescent="0.35">
      <c r="E842">
        <f>SUMIF(B$2:B842,"Recette",D$2:D842)-SUMIF(B$2:B842,"Dépense",D$2:D842)</f>
        <v>0</v>
      </c>
    </row>
    <row r="843" spans="5:5" x14ac:dyDescent="0.35">
      <c r="E843">
        <f>SUMIF(B$2:B843,"Recette",D$2:D843)-SUMIF(B$2:B843,"Dépense",D$2:D843)</f>
        <v>0</v>
      </c>
    </row>
    <row r="844" spans="5:5" x14ac:dyDescent="0.35">
      <c r="E844">
        <f>SUMIF(B$2:B844,"Recette",D$2:D844)-SUMIF(B$2:B844,"Dépense",D$2:D844)</f>
        <v>0</v>
      </c>
    </row>
    <row r="845" spans="5:5" x14ac:dyDescent="0.35">
      <c r="E845">
        <f>SUMIF(B$2:B845,"Recette",D$2:D845)-SUMIF(B$2:B845,"Dépense",D$2:D845)</f>
        <v>0</v>
      </c>
    </row>
    <row r="846" spans="5:5" x14ac:dyDescent="0.35">
      <c r="E846">
        <f>SUMIF(B$2:B846,"Recette",D$2:D846)-SUMIF(B$2:B846,"Dépense",D$2:D846)</f>
        <v>0</v>
      </c>
    </row>
    <row r="847" spans="5:5" x14ac:dyDescent="0.35">
      <c r="E847">
        <f>SUMIF(B$2:B847,"Recette",D$2:D847)-SUMIF(B$2:B847,"Dépense",D$2:D847)</f>
        <v>0</v>
      </c>
    </row>
    <row r="848" spans="5:5" x14ac:dyDescent="0.35">
      <c r="E848">
        <f>SUMIF(B$2:B848,"Recette",D$2:D848)-SUMIF(B$2:B848,"Dépense",D$2:D848)</f>
        <v>0</v>
      </c>
    </row>
    <row r="849" spans="5:5" x14ac:dyDescent="0.35">
      <c r="E849">
        <f>SUMIF(B$2:B849,"Recette",D$2:D849)-SUMIF(B$2:B849,"Dépense",D$2:D849)</f>
        <v>0</v>
      </c>
    </row>
    <row r="850" spans="5:5" x14ac:dyDescent="0.35">
      <c r="E850">
        <f>SUMIF(B$2:B850,"Recette",D$2:D850)-SUMIF(B$2:B850,"Dépense",D$2:D850)</f>
        <v>0</v>
      </c>
    </row>
    <row r="851" spans="5:5" x14ac:dyDescent="0.35">
      <c r="E851">
        <f>SUMIF(B$2:B851,"Recette",D$2:D851)-SUMIF(B$2:B851,"Dépense",D$2:D851)</f>
        <v>0</v>
      </c>
    </row>
    <row r="852" spans="5:5" x14ac:dyDescent="0.35">
      <c r="E852">
        <f>SUMIF(B$2:B852,"Recette",D$2:D852)-SUMIF(B$2:B852,"Dépense",D$2:D852)</f>
        <v>0</v>
      </c>
    </row>
    <row r="853" spans="5:5" x14ac:dyDescent="0.35">
      <c r="E853">
        <f>SUMIF(B$2:B853,"Recette",D$2:D853)-SUMIF(B$2:B853,"Dépense",D$2:D853)</f>
        <v>0</v>
      </c>
    </row>
    <row r="854" spans="5:5" x14ac:dyDescent="0.35">
      <c r="E854">
        <f>SUMIF(B$2:B854,"Recette",D$2:D854)-SUMIF(B$2:B854,"Dépense",D$2:D854)</f>
        <v>0</v>
      </c>
    </row>
    <row r="855" spans="5:5" x14ac:dyDescent="0.35">
      <c r="E855">
        <f>SUMIF(B$2:B855,"Recette",D$2:D855)-SUMIF(B$2:B855,"Dépense",D$2:D855)</f>
        <v>0</v>
      </c>
    </row>
    <row r="856" spans="5:5" x14ac:dyDescent="0.35">
      <c r="E856">
        <f>SUMIF(B$2:B856,"Recette",D$2:D856)-SUMIF(B$2:B856,"Dépense",D$2:D856)</f>
        <v>0</v>
      </c>
    </row>
    <row r="857" spans="5:5" x14ac:dyDescent="0.35">
      <c r="E857">
        <f>SUMIF(B$2:B857,"Recette",D$2:D857)-SUMIF(B$2:B857,"Dépense",D$2:D857)</f>
        <v>0</v>
      </c>
    </row>
    <row r="858" spans="5:5" x14ac:dyDescent="0.35">
      <c r="E858">
        <f>SUMIF(B$2:B858,"Recette",D$2:D858)-SUMIF(B$2:B858,"Dépense",D$2:D858)</f>
        <v>0</v>
      </c>
    </row>
    <row r="859" spans="5:5" x14ac:dyDescent="0.35">
      <c r="E859">
        <f>SUMIF(B$2:B859,"Recette",D$2:D859)-SUMIF(B$2:B859,"Dépense",D$2:D859)</f>
        <v>0</v>
      </c>
    </row>
    <row r="860" spans="5:5" x14ac:dyDescent="0.35">
      <c r="E860">
        <f>SUMIF(B$2:B860,"Recette",D$2:D860)-SUMIF(B$2:B860,"Dépense",D$2:D860)</f>
        <v>0</v>
      </c>
    </row>
    <row r="861" spans="5:5" x14ac:dyDescent="0.35">
      <c r="E861">
        <f>SUMIF(B$2:B861,"Recette",D$2:D861)-SUMIF(B$2:B861,"Dépense",D$2:D861)</f>
        <v>0</v>
      </c>
    </row>
    <row r="862" spans="5:5" x14ac:dyDescent="0.35">
      <c r="E862">
        <f>SUMIF(B$2:B862,"Recette",D$2:D862)-SUMIF(B$2:B862,"Dépense",D$2:D862)</f>
        <v>0</v>
      </c>
    </row>
    <row r="863" spans="5:5" x14ac:dyDescent="0.35">
      <c r="E863">
        <f>SUMIF(B$2:B863,"Recette",D$2:D863)-SUMIF(B$2:B863,"Dépense",D$2:D863)</f>
        <v>0</v>
      </c>
    </row>
    <row r="864" spans="5:5" x14ac:dyDescent="0.35">
      <c r="E864">
        <f>SUMIF(B$2:B864,"Recette",D$2:D864)-SUMIF(B$2:B864,"Dépense",D$2:D864)</f>
        <v>0</v>
      </c>
    </row>
    <row r="865" spans="5:5" x14ac:dyDescent="0.35">
      <c r="E865">
        <f>SUMIF(B$2:B865,"Recette",D$2:D865)-SUMIF(B$2:B865,"Dépense",D$2:D865)</f>
        <v>0</v>
      </c>
    </row>
    <row r="866" spans="5:5" x14ac:dyDescent="0.35">
      <c r="E866">
        <f>SUMIF(B$2:B866,"Recette",D$2:D866)-SUMIF(B$2:B866,"Dépense",D$2:D866)</f>
        <v>0</v>
      </c>
    </row>
    <row r="867" spans="5:5" x14ac:dyDescent="0.35">
      <c r="E867">
        <f>SUMIF(B$2:B867,"Recette",D$2:D867)-SUMIF(B$2:B867,"Dépense",D$2:D867)</f>
        <v>0</v>
      </c>
    </row>
    <row r="868" spans="5:5" x14ac:dyDescent="0.35">
      <c r="E868">
        <f>SUMIF(B$2:B868,"Recette",D$2:D868)-SUMIF(B$2:B868,"Dépense",D$2:D868)</f>
        <v>0</v>
      </c>
    </row>
    <row r="869" spans="5:5" x14ac:dyDescent="0.35">
      <c r="E869">
        <f>SUMIF(B$2:B869,"Recette",D$2:D869)-SUMIF(B$2:B869,"Dépense",D$2:D869)</f>
        <v>0</v>
      </c>
    </row>
    <row r="870" spans="5:5" x14ac:dyDescent="0.35">
      <c r="E870">
        <f>SUMIF(B$2:B870,"Recette",D$2:D870)-SUMIF(B$2:B870,"Dépense",D$2:D870)</f>
        <v>0</v>
      </c>
    </row>
    <row r="871" spans="5:5" x14ac:dyDescent="0.35">
      <c r="E871">
        <f>SUMIF(B$2:B871,"Recette",D$2:D871)-SUMIF(B$2:B871,"Dépense",D$2:D871)</f>
        <v>0</v>
      </c>
    </row>
    <row r="872" spans="5:5" x14ac:dyDescent="0.35">
      <c r="E872">
        <f>SUMIF(B$2:B872,"Recette",D$2:D872)-SUMIF(B$2:B872,"Dépense",D$2:D872)</f>
        <v>0</v>
      </c>
    </row>
    <row r="873" spans="5:5" x14ac:dyDescent="0.35">
      <c r="E873">
        <f>SUMIF(B$2:B873,"Recette",D$2:D873)-SUMIF(B$2:B873,"Dépense",D$2:D873)</f>
        <v>0</v>
      </c>
    </row>
    <row r="874" spans="5:5" x14ac:dyDescent="0.35">
      <c r="E874">
        <f>SUMIF(B$2:B874,"Recette",D$2:D874)-SUMIF(B$2:B874,"Dépense",D$2:D874)</f>
        <v>0</v>
      </c>
    </row>
    <row r="875" spans="5:5" x14ac:dyDescent="0.35">
      <c r="E875">
        <f>SUMIF(B$2:B875,"Recette",D$2:D875)-SUMIF(B$2:B875,"Dépense",D$2:D875)</f>
        <v>0</v>
      </c>
    </row>
    <row r="876" spans="5:5" x14ac:dyDescent="0.35">
      <c r="E876">
        <f>SUMIF(B$2:B876,"Recette",D$2:D876)-SUMIF(B$2:B876,"Dépense",D$2:D876)</f>
        <v>0</v>
      </c>
    </row>
    <row r="877" spans="5:5" x14ac:dyDescent="0.35">
      <c r="E877">
        <f>SUMIF(B$2:B877,"Recette",D$2:D877)-SUMIF(B$2:B877,"Dépense",D$2:D877)</f>
        <v>0</v>
      </c>
    </row>
    <row r="878" spans="5:5" x14ac:dyDescent="0.35">
      <c r="E878">
        <f>SUMIF(B$2:B878,"Recette",D$2:D878)-SUMIF(B$2:B878,"Dépense",D$2:D878)</f>
        <v>0</v>
      </c>
    </row>
    <row r="879" spans="5:5" x14ac:dyDescent="0.35">
      <c r="E879">
        <f>SUMIF(B$2:B879,"Recette",D$2:D879)-SUMIF(B$2:B879,"Dépense",D$2:D879)</f>
        <v>0</v>
      </c>
    </row>
    <row r="880" spans="5:5" x14ac:dyDescent="0.35">
      <c r="E880">
        <f>SUMIF(B$2:B880,"Recette",D$2:D880)-SUMIF(B$2:B880,"Dépense",D$2:D880)</f>
        <v>0</v>
      </c>
    </row>
    <row r="881" spans="5:5" x14ac:dyDescent="0.35">
      <c r="E881">
        <f>SUMIF(B$2:B881,"Recette",D$2:D881)-SUMIF(B$2:B881,"Dépense",D$2:D881)</f>
        <v>0</v>
      </c>
    </row>
    <row r="882" spans="5:5" x14ac:dyDescent="0.35">
      <c r="E882">
        <f>SUMIF(B$2:B882,"Recette",D$2:D882)-SUMIF(B$2:B882,"Dépense",D$2:D882)</f>
        <v>0</v>
      </c>
    </row>
    <row r="883" spans="5:5" x14ac:dyDescent="0.35">
      <c r="E883">
        <f>SUMIF(B$2:B883,"Recette",D$2:D883)-SUMIF(B$2:B883,"Dépense",D$2:D883)</f>
        <v>0</v>
      </c>
    </row>
    <row r="884" spans="5:5" x14ac:dyDescent="0.35">
      <c r="E884">
        <f>SUMIF(B$2:B884,"Recette",D$2:D884)-SUMIF(B$2:B884,"Dépense",D$2:D884)</f>
        <v>0</v>
      </c>
    </row>
    <row r="885" spans="5:5" x14ac:dyDescent="0.35">
      <c r="E885">
        <f>SUMIF(B$2:B885,"Recette",D$2:D885)-SUMIF(B$2:B885,"Dépense",D$2:D885)</f>
        <v>0</v>
      </c>
    </row>
    <row r="886" spans="5:5" x14ac:dyDescent="0.35">
      <c r="E886">
        <f>SUMIF(B$2:B886,"Recette",D$2:D886)-SUMIF(B$2:B886,"Dépense",D$2:D886)</f>
        <v>0</v>
      </c>
    </row>
    <row r="887" spans="5:5" x14ac:dyDescent="0.35">
      <c r="E887">
        <f>SUMIF(B$2:B887,"Recette",D$2:D887)-SUMIF(B$2:B887,"Dépense",D$2:D887)</f>
        <v>0</v>
      </c>
    </row>
    <row r="888" spans="5:5" x14ac:dyDescent="0.35">
      <c r="E888">
        <f>SUMIF(B$2:B888,"Recette",D$2:D888)-SUMIF(B$2:B888,"Dépense",D$2:D888)</f>
        <v>0</v>
      </c>
    </row>
    <row r="889" spans="5:5" x14ac:dyDescent="0.35">
      <c r="E889">
        <f>SUMIF(B$2:B889,"Recette",D$2:D889)-SUMIF(B$2:B889,"Dépense",D$2:D889)</f>
        <v>0</v>
      </c>
    </row>
    <row r="890" spans="5:5" x14ac:dyDescent="0.35">
      <c r="E890">
        <f>SUMIF(B$2:B890,"Recette",D$2:D890)-SUMIF(B$2:B890,"Dépense",D$2:D890)</f>
        <v>0</v>
      </c>
    </row>
    <row r="891" spans="5:5" x14ac:dyDescent="0.35">
      <c r="E891">
        <f>SUMIF(B$2:B891,"Recette",D$2:D891)-SUMIF(B$2:B891,"Dépense",D$2:D891)</f>
        <v>0</v>
      </c>
    </row>
    <row r="892" spans="5:5" x14ac:dyDescent="0.35">
      <c r="E892">
        <f>SUMIF(B$2:B892,"Recette",D$2:D892)-SUMIF(B$2:B892,"Dépense",D$2:D892)</f>
        <v>0</v>
      </c>
    </row>
    <row r="893" spans="5:5" x14ac:dyDescent="0.35">
      <c r="E893">
        <f>SUMIF(B$2:B893,"Recette",D$2:D893)-SUMIF(B$2:B893,"Dépense",D$2:D893)</f>
        <v>0</v>
      </c>
    </row>
    <row r="894" spans="5:5" x14ac:dyDescent="0.35">
      <c r="E894">
        <f>SUMIF(B$2:B894,"Recette",D$2:D894)-SUMIF(B$2:B894,"Dépense",D$2:D894)</f>
        <v>0</v>
      </c>
    </row>
    <row r="895" spans="5:5" x14ac:dyDescent="0.35">
      <c r="E895">
        <f>SUMIF(B$2:B895,"Recette",D$2:D895)-SUMIF(B$2:B895,"Dépense",D$2:D895)</f>
        <v>0</v>
      </c>
    </row>
    <row r="896" spans="5:5" x14ac:dyDescent="0.35">
      <c r="E896">
        <f>SUMIF(B$2:B896,"Recette",D$2:D896)-SUMIF(B$2:B896,"Dépense",D$2:D896)</f>
        <v>0</v>
      </c>
    </row>
    <row r="897" spans="5:5" x14ac:dyDescent="0.35">
      <c r="E897">
        <f>SUMIF(B$2:B897,"Recette",D$2:D897)-SUMIF(B$2:B897,"Dépense",D$2:D897)</f>
        <v>0</v>
      </c>
    </row>
    <row r="898" spans="5:5" x14ac:dyDescent="0.35">
      <c r="E898">
        <f>SUMIF(B$2:B898,"Recette",D$2:D898)-SUMIF(B$2:B898,"Dépense",D$2:D898)</f>
        <v>0</v>
      </c>
    </row>
    <row r="899" spans="5:5" x14ac:dyDescent="0.35">
      <c r="E899">
        <f>SUMIF(B$2:B899,"Recette",D$2:D899)-SUMIF(B$2:B899,"Dépense",D$2:D899)</f>
        <v>0</v>
      </c>
    </row>
    <row r="900" spans="5:5" x14ac:dyDescent="0.35">
      <c r="E900">
        <f>SUMIF(B$2:B900,"Recette",D$2:D900)-SUMIF(B$2:B900,"Dépense",D$2:D900)</f>
        <v>0</v>
      </c>
    </row>
    <row r="901" spans="5:5" x14ac:dyDescent="0.35">
      <c r="E901">
        <f>SUMIF(B$2:B901,"Recette",D$2:D901)-SUMIF(B$2:B901,"Dépense",D$2:D901)</f>
        <v>0</v>
      </c>
    </row>
    <row r="902" spans="5:5" x14ac:dyDescent="0.35">
      <c r="E902">
        <f>SUMIF(B$2:B902,"Recette",D$2:D902)-SUMIF(B$2:B902,"Dépense",D$2:D902)</f>
        <v>0</v>
      </c>
    </row>
    <row r="903" spans="5:5" x14ac:dyDescent="0.35">
      <c r="E903">
        <f>SUMIF(B$2:B903,"Recette",D$2:D903)-SUMIF(B$2:B903,"Dépense",D$2:D903)</f>
        <v>0</v>
      </c>
    </row>
    <row r="904" spans="5:5" x14ac:dyDescent="0.35">
      <c r="E904">
        <f>SUMIF(B$2:B904,"Recette",D$2:D904)-SUMIF(B$2:B904,"Dépense",D$2:D904)</f>
        <v>0</v>
      </c>
    </row>
    <row r="905" spans="5:5" x14ac:dyDescent="0.35">
      <c r="E905">
        <f>SUMIF(B$2:B905,"Recette",D$2:D905)-SUMIF(B$2:B905,"Dépense",D$2:D905)</f>
        <v>0</v>
      </c>
    </row>
    <row r="906" spans="5:5" x14ac:dyDescent="0.35">
      <c r="E906">
        <f>SUMIF(B$2:B906,"Recette",D$2:D906)-SUMIF(B$2:B906,"Dépense",D$2:D906)</f>
        <v>0</v>
      </c>
    </row>
    <row r="907" spans="5:5" x14ac:dyDescent="0.35">
      <c r="E907">
        <f>SUMIF(B$2:B907,"Recette",D$2:D907)-SUMIF(B$2:B907,"Dépense",D$2:D907)</f>
        <v>0</v>
      </c>
    </row>
    <row r="908" spans="5:5" x14ac:dyDescent="0.35">
      <c r="E908">
        <f>SUMIF(B$2:B908,"Recette",D$2:D908)-SUMIF(B$2:B908,"Dépense",D$2:D908)</f>
        <v>0</v>
      </c>
    </row>
    <row r="909" spans="5:5" x14ac:dyDescent="0.35">
      <c r="E909">
        <f>SUMIF(B$2:B909,"Recette",D$2:D909)-SUMIF(B$2:B909,"Dépense",D$2:D909)</f>
        <v>0</v>
      </c>
    </row>
    <row r="910" spans="5:5" x14ac:dyDescent="0.35">
      <c r="E910">
        <f>SUMIF(B$2:B910,"Recette",D$2:D910)-SUMIF(B$2:B910,"Dépense",D$2:D910)</f>
        <v>0</v>
      </c>
    </row>
    <row r="911" spans="5:5" x14ac:dyDescent="0.35">
      <c r="E911">
        <f>SUMIF(B$2:B911,"Recette",D$2:D911)-SUMIF(B$2:B911,"Dépense",D$2:D911)</f>
        <v>0</v>
      </c>
    </row>
    <row r="912" spans="5:5" x14ac:dyDescent="0.35">
      <c r="E912">
        <f>SUMIF(B$2:B912,"Recette",D$2:D912)-SUMIF(B$2:B912,"Dépense",D$2:D912)</f>
        <v>0</v>
      </c>
    </row>
    <row r="913" spans="5:5" x14ac:dyDescent="0.35">
      <c r="E913">
        <f>SUMIF(B$2:B913,"Recette",D$2:D913)-SUMIF(B$2:B913,"Dépense",D$2:D913)</f>
        <v>0</v>
      </c>
    </row>
    <row r="914" spans="5:5" x14ac:dyDescent="0.35">
      <c r="E914">
        <f>SUMIF(B$2:B914,"Recette",D$2:D914)-SUMIF(B$2:B914,"Dépense",D$2:D914)</f>
        <v>0</v>
      </c>
    </row>
    <row r="915" spans="5:5" x14ac:dyDescent="0.35">
      <c r="E915">
        <f>SUMIF(B$2:B915,"Recette",D$2:D915)-SUMIF(B$2:B915,"Dépense",D$2:D915)</f>
        <v>0</v>
      </c>
    </row>
    <row r="916" spans="5:5" x14ac:dyDescent="0.35">
      <c r="E916">
        <f>SUMIF(B$2:B916,"Recette",D$2:D916)-SUMIF(B$2:B916,"Dépense",D$2:D916)</f>
        <v>0</v>
      </c>
    </row>
    <row r="917" spans="5:5" x14ac:dyDescent="0.35">
      <c r="E917">
        <f>SUMIF(B$2:B917,"Recette",D$2:D917)-SUMIF(B$2:B917,"Dépense",D$2:D917)</f>
        <v>0</v>
      </c>
    </row>
    <row r="918" spans="5:5" x14ac:dyDescent="0.35">
      <c r="E918">
        <f>SUMIF(B$2:B918,"Recette",D$2:D918)-SUMIF(B$2:B918,"Dépense",D$2:D918)</f>
        <v>0</v>
      </c>
    </row>
    <row r="919" spans="5:5" x14ac:dyDescent="0.35">
      <c r="E919">
        <f>SUMIF(B$2:B919,"Recette",D$2:D919)-SUMIF(B$2:B919,"Dépense",D$2:D919)</f>
        <v>0</v>
      </c>
    </row>
    <row r="920" spans="5:5" x14ac:dyDescent="0.35">
      <c r="E920">
        <f>SUMIF(B$2:B920,"Recette",D$2:D920)-SUMIF(B$2:B920,"Dépense",D$2:D920)</f>
        <v>0</v>
      </c>
    </row>
    <row r="921" spans="5:5" x14ac:dyDescent="0.35">
      <c r="E921">
        <f>SUMIF(B$2:B921,"Recette",D$2:D921)-SUMIF(B$2:B921,"Dépense",D$2:D921)</f>
        <v>0</v>
      </c>
    </row>
    <row r="922" spans="5:5" x14ac:dyDescent="0.35">
      <c r="E922">
        <f>SUMIF(B$2:B922,"Recette",D$2:D922)-SUMIF(B$2:B922,"Dépense",D$2:D922)</f>
        <v>0</v>
      </c>
    </row>
    <row r="923" spans="5:5" x14ac:dyDescent="0.35">
      <c r="E923">
        <f>SUMIF(B$2:B923,"Recette",D$2:D923)-SUMIF(B$2:B923,"Dépense",D$2:D923)</f>
        <v>0</v>
      </c>
    </row>
    <row r="924" spans="5:5" x14ac:dyDescent="0.35">
      <c r="E924">
        <f>SUMIF(B$2:B924,"Recette",D$2:D924)-SUMIF(B$2:B924,"Dépense",D$2:D924)</f>
        <v>0</v>
      </c>
    </row>
    <row r="925" spans="5:5" x14ac:dyDescent="0.35">
      <c r="E925">
        <f>SUMIF(B$2:B925,"Recette",D$2:D925)-SUMIF(B$2:B925,"Dépense",D$2:D925)</f>
        <v>0</v>
      </c>
    </row>
    <row r="926" spans="5:5" x14ac:dyDescent="0.35">
      <c r="E926">
        <f>SUMIF(B$2:B926,"Recette",D$2:D926)-SUMIF(B$2:B926,"Dépense",D$2:D926)</f>
        <v>0</v>
      </c>
    </row>
    <row r="927" spans="5:5" x14ac:dyDescent="0.35">
      <c r="E927">
        <f>SUMIF(B$2:B927,"Recette",D$2:D927)-SUMIF(B$2:B927,"Dépense",D$2:D927)</f>
        <v>0</v>
      </c>
    </row>
    <row r="928" spans="5:5" x14ac:dyDescent="0.35">
      <c r="E928">
        <f>SUMIF(B$2:B928,"Recette",D$2:D928)-SUMIF(B$2:B928,"Dépense",D$2:D928)</f>
        <v>0</v>
      </c>
    </row>
    <row r="929" spans="5:5" x14ac:dyDescent="0.35">
      <c r="E929">
        <f>SUMIF(B$2:B929,"Recette",D$2:D929)-SUMIF(B$2:B929,"Dépense",D$2:D929)</f>
        <v>0</v>
      </c>
    </row>
    <row r="930" spans="5:5" x14ac:dyDescent="0.35">
      <c r="E930">
        <f>SUMIF(B$2:B930,"Recette",D$2:D930)-SUMIF(B$2:B930,"Dépense",D$2:D930)</f>
        <v>0</v>
      </c>
    </row>
    <row r="931" spans="5:5" x14ac:dyDescent="0.35">
      <c r="E931">
        <f>SUMIF(B$2:B931,"Recette",D$2:D931)-SUMIF(B$2:B931,"Dépense",D$2:D931)</f>
        <v>0</v>
      </c>
    </row>
    <row r="932" spans="5:5" x14ac:dyDescent="0.35">
      <c r="E932">
        <f>SUMIF(B$2:B932,"Recette",D$2:D932)-SUMIF(B$2:B932,"Dépense",D$2:D932)</f>
        <v>0</v>
      </c>
    </row>
    <row r="933" spans="5:5" x14ac:dyDescent="0.35">
      <c r="E933">
        <f>SUMIF(B$2:B933,"Recette",D$2:D933)-SUMIF(B$2:B933,"Dépense",D$2:D933)</f>
        <v>0</v>
      </c>
    </row>
    <row r="934" spans="5:5" x14ac:dyDescent="0.35">
      <c r="E934">
        <f>SUMIF(B$2:B934,"Recette",D$2:D934)-SUMIF(B$2:B934,"Dépense",D$2:D934)</f>
        <v>0</v>
      </c>
    </row>
    <row r="935" spans="5:5" x14ac:dyDescent="0.35">
      <c r="E935">
        <f>SUMIF(B$2:B935,"Recette",D$2:D935)-SUMIF(B$2:B935,"Dépense",D$2:D935)</f>
        <v>0</v>
      </c>
    </row>
    <row r="936" spans="5:5" x14ac:dyDescent="0.35">
      <c r="E936">
        <f>SUMIF(B$2:B936,"Recette",D$2:D936)-SUMIF(B$2:B936,"Dépense",D$2:D936)</f>
        <v>0</v>
      </c>
    </row>
    <row r="937" spans="5:5" x14ac:dyDescent="0.35">
      <c r="E937">
        <f>SUMIF(B$2:B937,"Recette",D$2:D937)-SUMIF(B$2:B937,"Dépense",D$2:D937)</f>
        <v>0</v>
      </c>
    </row>
    <row r="938" spans="5:5" x14ac:dyDescent="0.35">
      <c r="E938">
        <f>SUMIF(B$2:B938,"Recette",D$2:D938)-SUMIF(B$2:B938,"Dépense",D$2:D938)</f>
        <v>0</v>
      </c>
    </row>
    <row r="939" spans="5:5" x14ac:dyDescent="0.35">
      <c r="E939">
        <f>SUMIF(B$2:B939,"Recette",D$2:D939)-SUMIF(B$2:B939,"Dépense",D$2:D939)</f>
        <v>0</v>
      </c>
    </row>
    <row r="940" spans="5:5" x14ac:dyDescent="0.35">
      <c r="E940">
        <f>SUMIF(B$2:B940,"Recette",D$2:D940)-SUMIF(B$2:B940,"Dépense",D$2:D940)</f>
        <v>0</v>
      </c>
    </row>
    <row r="941" spans="5:5" x14ac:dyDescent="0.35">
      <c r="E941">
        <f>SUMIF(B$2:B941,"Recette",D$2:D941)-SUMIF(B$2:B941,"Dépense",D$2:D941)</f>
        <v>0</v>
      </c>
    </row>
    <row r="942" spans="5:5" x14ac:dyDescent="0.35">
      <c r="E942">
        <f>SUMIF(B$2:B942,"Recette",D$2:D942)-SUMIF(B$2:B942,"Dépense",D$2:D942)</f>
        <v>0</v>
      </c>
    </row>
    <row r="943" spans="5:5" x14ac:dyDescent="0.35">
      <c r="E943">
        <f>SUMIF(B$2:B943,"Recette",D$2:D943)-SUMIF(B$2:B943,"Dépense",D$2:D943)</f>
        <v>0</v>
      </c>
    </row>
    <row r="944" spans="5:5" x14ac:dyDescent="0.35">
      <c r="E944">
        <f>SUMIF(B$2:B944,"Recette",D$2:D944)-SUMIF(B$2:B944,"Dépense",D$2:D944)</f>
        <v>0</v>
      </c>
    </row>
    <row r="945" spans="5:5" x14ac:dyDescent="0.35">
      <c r="E945">
        <f>SUMIF(B$2:B945,"Recette",D$2:D945)-SUMIF(B$2:B945,"Dépense",D$2:D945)</f>
        <v>0</v>
      </c>
    </row>
    <row r="946" spans="5:5" x14ac:dyDescent="0.35">
      <c r="E946">
        <f>SUMIF(B$2:B946,"Recette",D$2:D946)-SUMIF(B$2:B946,"Dépense",D$2:D946)</f>
        <v>0</v>
      </c>
    </row>
    <row r="947" spans="5:5" x14ac:dyDescent="0.35">
      <c r="E947">
        <f>SUMIF(B$2:B947,"Recette",D$2:D947)-SUMIF(B$2:B947,"Dépense",D$2:D947)</f>
        <v>0</v>
      </c>
    </row>
    <row r="948" spans="5:5" x14ac:dyDescent="0.35">
      <c r="E948">
        <f>SUMIF(B$2:B948,"Recette",D$2:D948)-SUMIF(B$2:B948,"Dépense",D$2:D948)</f>
        <v>0</v>
      </c>
    </row>
    <row r="949" spans="5:5" x14ac:dyDescent="0.35">
      <c r="E949">
        <f>SUMIF(B$2:B949,"Recette",D$2:D949)-SUMIF(B$2:B949,"Dépense",D$2:D949)</f>
        <v>0</v>
      </c>
    </row>
    <row r="950" spans="5:5" x14ac:dyDescent="0.35">
      <c r="E950">
        <f>SUMIF(B$2:B950,"Recette",D$2:D950)-SUMIF(B$2:B950,"Dépense",D$2:D950)</f>
        <v>0</v>
      </c>
    </row>
    <row r="951" spans="5:5" x14ac:dyDescent="0.35">
      <c r="E951">
        <f>SUMIF(B$2:B951,"Recette",D$2:D951)-SUMIF(B$2:B951,"Dépense",D$2:D951)</f>
        <v>0</v>
      </c>
    </row>
    <row r="952" spans="5:5" x14ac:dyDescent="0.35">
      <c r="E952">
        <f>SUMIF(B$2:B952,"Recette",D$2:D952)-SUMIF(B$2:B952,"Dépense",D$2:D952)</f>
        <v>0</v>
      </c>
    </row>
    <row r="953" spans="5:5" x14ac:dyDescent="0.35">
      <c r="E953">
        <f>SUMIF(B$2:B953,"Recette",D$2:D953)-SUMIF(B$2:B953,"Dépense",D$2:D953)</f>
        <v>0</v>
      </c>
    </row>
    <row r="954" spans="5:5" x14ac:dyDescent="0.35">
      <c r="E954">
        <f>SUMIF(B$2:B954,"Recette",D$2:D954)-SUMIF(B$2:B954,"Dépense",D$2:D954)</f>
        <v>0</v>
      </c>
    </row>
    <row r="955" spans="5:5" x14ac:dyDescent="0.35">
      <c r="E955">
        <f>SUMIF(B$2:B955,"Recette",D$2:D955)-SUMIF(B$2:B955,"Dépense",D$2:D955)</f>
        <v>0</v>
      </c>
    </row>
    <row r="956" spans="5:5" x14ac:dyDescent="0.35">
      <c r="E956">
        <f>SUMIF(B$2:B956,"Recette",D$2:D956)-SUMIF(B$2:B956,"Dépense",D$2:D956)</f>
        <v>0</v>
      </c>
    </row>
    <row r="957" spans="5:5" x14ac:dyDescent="0.35">
      <c r="E957">
        <f>SUMIF(B$2:B957,"Recette",D$2:D957)-SUMIF(B$2:B957,"Dépense",D$2:D957)</f>
        <v>0</v>
      </c>
    </row>
    <row r="958" spans="5:5" x14ac:dyDescent="0.35">
      <c r="E958">
        <f>SUMIF(B$2:B958,"Recette",D$2:D958)-SUMIF(B$2:B958,"Dépense",D$2:D958)</f>
        <v>0</v>
      </c>
    </row>
    <row r="959" spans="5:5" x14ac:dyDescent="0.35">
      <c r="E959">
        <f>SUMIF(B$2:B959,"Recette",D$2:D959)-SUMIF(B$2:B959,"Dépense",D$2:D959)</f>
        <v>0</v>
      </c>
    </row>
    <row r="960" spans="5:5" x14ac:dyDescent="0.35">
      <c r="E960">
        <f>SUMIF(B$2:B960,"Recette",D$2:D960)-SUMIF(B$2:B960,"Dépense",D$2:D960)</f>
        <v>0</v>
      </c>
    </row>
    <row r="961" spans="5:5" x14ac:dyDescent="0.35">
      <c r="E961">
        <f>SUMIF(B$2:B961,"Recette",D$2:D961)-SUMIF(B$2:B961,"Dépense",D$2:D961)</f>
        <v>0</v>
      </c>
    </row>
    <row r="962" spans="5:5" x14ac:dyDescent="0.35">
      <c r="E962">
        <f>SUMIF(B$2:B962,"Recette",D$2:D962)-SUMIF(B$2:B962,"Dépense",D$2:D962)</f>
        <v>0</v>
      </c>
    </row>
    <row r="963" spans="5:5" x14ac:dyDescent="0.35">
      <c r="E963">
        <f>SUMIF(B$2:B963,"Recette",D$2:D963)-SUMIF(B$2:B963,"Dépense",D$2:D963)</f>
        <v>0</v>
      </c>
    </row>
    <row r="964" spans="5:5" x14ac:dyDescent="0.35">
      <c r="E964">
        <f>SUMIF(B$2:B964,"Recette",D$2:D964)-SUMIF(B$2:B964,"Dépense",D$2:D964)</f>
        <v>0</v>
      </c>
    </row>
    <row r="965" spans="5:5" x14ac:dyDescent="0.35">
      <c r="E965">
        <f>SUMIF(B$2:B965,"Recette",D$2:D965)-SUMIF(B$2:B965,"Dépense",D$2:D965)</f>
        <v>0</v>
      </c>
    </row>
    <row r="966" spans="5:5" x14ac:dyDescent="0.35">
      <c r="E966">
        <f>SUMIF(B$2:B966,"Recette",D$2:D966)-SUMIF(B$2:B966,"Dépense",D$2:D966)</f>
        <v>0</v>
      </c>
    </row>
    <row r="967" spans="5:5" x14ac:dyDescent="0.35">
      <c r="E967">
        <f>SUMIF(B$2:B967,"Recette",D$2:D967)-SUMIF(B$2:B967,"Dépense",D$2:D967)</f>
        <v>0</v>
      </c>
    </row>
    <row r="968" spans="5:5" x14ac:dyDescent="0.35">
      <c r="E968">
        <f>SUMIF(B$2:B968,"Recette",D$2:D968)-SUMIF(B$2:B968,"Dépense",D$2:D968)</f>
        <v>0</v>
      </c>
    </row>
    <row r="969" spans="5:5" x14ac:dyDescent="0.35">
      <c r="E969">
        <f>SUMIF(B$2:B969,"Recette",D$2:D969)-SUMIF(B$2:B969,"Dépense",D$2:D969)</f>
        <v>0</v>
      </c>
    </row>
    <row r="970" spans="5:5" x14ac:dyDescent="0.35">
      <c r="E970">
        <f>SUMIF(B$2:B970,"Recette",D$2:D970)-SUMIF(B$2:B970,"Dépense",D$2:D970)</f>
        <v>0</v>
      </c>
    </row>
    <row r="971" spans="5:5" x14ac:dyDescent="0.35">
      <c r="E971">
        <f>SUMIF(B$2:B971,"Recette",D$2:D971)-SUMIF(B$2:B971,"Dépense",D$2:D971)</f>
        <v>0</v>
      </c>
    </row>
    <row r="972" spans="5:5" x14ac:dyDescent="0.35">
      <c r="E972">
        <f>SUMIF(B$2:B972,"Recette",D$2:D972)-SUMIF(B$2:B972,"Dépense",D$2:D972)</f>
        <v>0</v>
      </c>
    </row>
    <row r="973" spans="5:5" x14ac:dyDescent="0.35">
      <c r="E973">
        <f>SUMIF(B$2:B973,"Recette",D$2:D973)-SUMIF(B$2:B973,"Dépense",D$2:D973)</f>
        <v>0</v>
      </c>
    </row>
    <row r="974" spans="5:5" x14ac:dyDescent="0.35">
      <c r="E974">
        <f>SUMIF(B$2:B974,"Recette",D$2:D974)-SUMIF(B$2:B974,"Dépense",D$2:D974)</f>
        <v>0</v>
      </c>
    </row>
    <row r="975" spans="5:5" x14ac:dyDescent="0.35">
      <c r="E975">
        <f>SUMIF(B$2:B975,"Recette",D$2:D975)-SUMIF(B$2:B975,"Dépense",D$2:D975)</f>
        <v>0</v>
      </c>
    </row>
    <row r="976" spans="5:5" x14ac:dyDescent="0.35">
      <c r="E976">
        <f>SUMIF(B$2:B976,"Recette",D$2:D976)-SUMIF(B$2:B976,"Dépense",D$2:D976)</f>
        <v>0</v>
      </c>
    </row>
    <row r="977" spans="5:5" x14ac:dyDescent="0.35">
      <c r="E977">
        <f>SUMIF(B$2:B977,"Recette",D$2:D977)-SUMIF(B$2:B977,"Dépense",D$2:D977)</f>
        <v>0</v>
      </c>
    </row>
    <row r="978" spans="5:5" x14ac:dyDescent="0.35">
      <c r="E978">
        <f>SUMIF(B$2:B978,"Recette",D$2:D978)-SUMIF(B$2:B978,"Dépense",D$2:D978)</f>
        <v>0</v>
      </c>
    </row>
    <row r="979" spans="5:5" x14ac:dyDescent="0.35">
      <c r="E979">
        <f>SUMIF(B$2:B979,"Recette",D$2:D979)-SUMIF(B$2:B979,"Dépense",D$2:D979)</f>
        <v>0</v>
      </c>
    </row>
    <row r="980" spans="5:5" x14ac:dyDescent="0.35">
      <c r="E980">
        <f>SUMIF(B$2:B980,"Recette",D$2:D980)-SUMIF(B$2:B980,"Dépense",D$2:D980)</f>
        <v>0</v>
      </c>
    </row>
    <row r="981" spans="5:5" x14ac:dyDescent="0.35">
      <c r="E981">
        <f>SUMIF(B$2:B981,"Recette",D$2:D981)-SUMIF(B$2:B981,"Dépense",D$2:D981)</f>
        <v>0</v>
      </c>
    </row>
    <row r="982" spans="5:5" x14ac:dyDescent="0.35">
      <c r="E982">
        <f>SUMIF(B$2:B982,"Recette",D$2:D982)-SUMIF(B$2:B982,"Dépense",D$2:D982)</f>
        <v>0</v>
      </c>
    </row>
    <row r="983" spans="5:5" x14ac:dyDescent="0.35">
      <c r="E983">
        <f>SUMIF(B$2:B983,"Recette",D$2:D983)-SUMIF(B$2:B983,"Dépense",D$2:D983)</f>
        <v>0</v>
      </c>
    </row>
    <row r="984" spans="5:5" x14ac:dyDescent="0.35">
      <c r="E984">
        <f>SUMIF(B$2:B984,"Recette",D$2:D984)-SUMIF(B$2:B984,"Dépense",D$2:D984)</f>
        <v>0</v>
      </c>
    </row>
    <row r="985" spans="5:5" x14ac:dyDescent="0.35">
      <c r="E985">
        <f>SUMIF(B$2:B985,"Recette",D$2:D985)-SUMIF(B$2:B985,"Dépense",D$2:D985)</f>
        <v>0</v>
      </c>
    </row>
    <row r="986" spans="5:5" x14ac:dyDescent="0.35">
      <c r="E986">
        <f>SUMIF(B$2:B986,"Recette",D$2:D986)-SUMIF(B$2:B986,"Dépense",D$2:D986)</f>
        <v>0</v>
      </c>
    </row>
    <row r="987" spans="5:5" x14ac:dyDescent="0.35">
      <c r="E987">
        <f>SUMIF(B$2:B987,"Recette",D$2:D987)-SUMIF(B$2:B987,"Dépense",D$2:D987)</f>
        <v>0</v>
      </c>
    </row>
    <row r="988" spans="5:5" x14ac:dyDescent="0.35">
      <c r="E988">
        <f>SUMIF(B$2:B988,"Recette",D$2:D988)-SUMIF(B$2:B988,"Dépense",D$2:D988)</f>
        <v>0</v>
      </c>
    </row>
    <row r="989" spans="5:5" x14ac:dyDescent="0.35">
      <c r="E989">
        <f>SUMIF(B$2:B989,"Recette",D$2:D989)-SUMIF(B$2:B989,"Dépense",D$2:D989)</f>
        <v>0</v>
      </c>
    </row>
    <row r="990" spans="5:5" x14ac:dyDescent="0.35">
      <c r="E990">
        <f>SUMIF(B$2:B990,"Recette",D$2:D990)-SUMIF(B$2:B990,"Dépense",D$2:D990)</f>
        <v>0</v>
      </c>
    </row>
    <row r="991" spans="5:5" x14ac:dyDescent="0.35">
      <c r="E991">
        <f>SUMIF(B$2:B991,"Recette",D$2:D991)-SUMIF(B$2:B991,"Dépense",D$2:D991)</f>
        <v>0</v>
      </c>
    </row>
    <row r="992" spans="5:5" x14ac:dyDescent="0.35">
      <c r="E992">
        <f>SUMIF(B$2:B992,"Recette",D$2:D992)-SUMIF(B$2:B992,"Dépense",D$2:D992)</f>
        <v>0</v>
      </c>
    </row>
    <row r="993" spans="5:5" x14ac:dyDescent="0.35">
      <c r="E993">
        <f>SUMIF(B$2:B993,"Recette",D$2:D993)-SUMIF(B$2:B993,"Dépense",D$2:D993)</f>
        <v>0</v>
      </c>
    </row>
    <row r="994" spans="5:5" x14ac:dyDescent="0.35">
      <c r="E994">
        <f>SUMIF(B$2:B994,"Recette",D$2:D994)-SUMIF(B$2:B994,"Dépense",D$2:D994)</f>
        <v>0</v>
      </c>
    </row>
    <row r="995" spans="5:5" x14ac:dyDescent="0.35">
      <c r="E995">
        <f>SUMIF(B$2:B995,"Recette",D$2:D995)-SUMIF(B$2:B995,"Dépense",D$2:D995)</f>
        <v>0</v>
      </c>
    </row>
    <row r="996" spans="5:5" x14ac:dyDescent="0.35">
      <c r="E996">
        <f>SUMIF(B$2:B996,"Recette",D$2:D996)-SUMIF(B$2:B996,"Dépense",D$2:D996)</f>
        <v>0</v>
      </c>
    </row>
    <row r="997" spans="5:5" x14ac:dyDescent="0.35">
      <c r="E997">
        <f>SUMIF(B$2:B997,"Recette",D$2:D997)-SUMIF(B$2:B997,"Dépense",D$2:D997)</f>
        <v>0</v>
      </c>
    </row>
    <row r="998" spans="5:5" x14ac:dyDescent="0.35">
      <c r="E998">
        <f>SUMIF(B$2:B998,"Recette",D$2:D998)-SUMIF(B$2:B998,"Dépense",D$2:D998)</f>
        <v>0</v>
      </c>
    </row>
    <row r="999" spans="5:5" x14ac:dyDescent="0.35">
      <c r="E999">
        <f>SUMIF(B$2:B999,"Recette",D$2:D999)-SUMIF(B$2:B999,"Dépense",D$2:D999)</f>
        <v>0</v>
      </c>
    </row>
    <row r="1000" spans="5:5" x14ac:dyDescent="0.35">
      <c r="E1000">
        <f>SUMIF(B$2:B1000,"Recette",D$2:D1000)-SUMIF(B$2:B1000,"Dépense",D$2:D1000)</f>
        <v>0</v>
      </c>
    </row>
  </sheetData>
  <conditionalFormatting sqref="E2:E1000">
    <cfRule type="cellIs" dxfId="7" priority="1" operator="greaterThanOrEqual">
      <formula>0</formula>
    </cfRule>
    <cfRule type="cellIs" dxfId="6" priority="2" operator="lessThan">
      <formula>0</formula>
    </cfRule>
  </conditionalFormatting>
  <dataValidations count="3">
    <dataValidation type="date" allowBlank="1" showInputMessage="1" showErrorMessage="1" sqref="A2:A1000" xr:uid="{00000000-0002-0000-0000-000000000000}">
      <formula1>2026-1-1</formula1>
      <formula2>2026-12-31</formula2>
    </dataValidation>
    <dataValidation type="list" allowBlank="1" showInputMessage="1" showErrorMessage="1" sqref="B2:B1000" xr:uid="{00000000-0002-0000-0000-000001000000}">
      <formula1>"Recette,Dépense"</formula1>
    </dataValidation>
    <dataValidation type="list" allowBlank="1" showInputMessage="1" showErrorMessage="1" sqref="C2:C1000" xr:uid="{00000000-0002-0000-0000-000002000000}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A10" sqref="A10"/>
    </sheetView>
  </sheetViews>
  <sheetFormatPr baseColWidth="10" defaultColWidth="8.7265625" defaultRowHeight="14.5" x14ac:dyDescent="0.35"/>
  <cols>
    <col min="1" max="1" width="15.7265625" customWidth="1"/>
    <col min="2" max="6" width="18.7265625" customWidth="1"/>
    <col min="7" max="7" width="12.7265625" customWidth="1"/>
  </cols>
  <sheetData>
    <row r="1" spans="1:7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G2">
        <f t="shared" ref="G2:G33" si="0">SUMPRODUCT((B2:F2="Oui")*20)</f>
        <v>0</v>
      </c>
    </row>
    <row r="3" spans="1:7" x14ac:dyDescent="0.35">
      <c r="G3">
        <f t="shared" si="0"/>
        <v>0</v>
      </c>
    </row>
    <row r="4" spans="1:7" x14ac:dyDescent="0.35">
      <c r="G4">
        <f t="shared" si="0"/>
        <v>0</v>
      </c>
    </row>
    <row r="5" spans="1:7" x14ac:dyDescent="0.35">
      <c r="G5">
        <f t="shared" si="0"/>
        <v>0</v>
      </c>
    </row>
    <row r="6" spans="1:7" x14ac:dyDescent="0.35">
      <c r="G6">
        <f t="shared" si="0"/>
        <v>0</v>
      </c>
    </row>
    <row r="7" spans="1:7" x14ac:dyDescent="0.35">
      <c r="G7">
        <f t="shared" si="0"/>
        <v>0</v>
      </c>
    </row>
    <row r="8" spans="1:7" x14ac:dyDescent="0.35">
      <c r="G8">
        <f t="shared" si="0"/>
        <v>0</v>
      </c>
    </row>
    <row r="9" spans="1:7" x14ac:dyDescent="0.35">
      <c r="G9">
        <f t="shared" si="0"/>
        <v>0</v>
      </c>
    </row>
    <row r="10" spans="1:7" x14ac:dyDescent="0.35">
      <c r="G10">
        <f t="shared" si="0"/>
        <v>0</v>
      </c>
    </row>
    <row r="11" spans="1:7" x14ac:dyDescent="0.35">
      <c r="G11">
        <f t="shared" si="0"/>
        <v>0</v>
      </c>
    </row>
    <row r="12" spans="1:7" x14ac:dyDescent="0.35">
      <c r="G12">
        <f t="shared" si="0"/>
        <v>0</v>
      </c>
    </row>
    <row r="13" spans="1:7" x14ac:dyDescent="0.35">
      <c r="G13">
        <f t="shared" si="0"/>
        <v>0</v>
      </c>
    </row>
    <row r="14" spans="1:7" x14ac:dyDescent="0.35">
      <c r="G14">
        <f t="shared" si="0"/>
        <v>0</v>
      </c>
    </row>
    <row r="15" spans="1:7" x14ac:dyDescent="0.35">
      <c r="G15">
        <f t="shared" si="0"/>
        <v>0</v>
      </c>
    </row>
    <row r="16" spans="1:7" x14ac:dyDescent="0.35">
      <c r="G16">
        <f t="shared" si="0"/>
        <v>0</v>
      </c>
    </row>
    <row r="17" spans="7:7" x14ac:dyDescent="0.35">
      <c r="G17">
        <f t="shared" si="0"/>
        <v>0</v>
      </c>
    </row>
    <row r="18" spans="7:7" x14ac:dyDescent="0.35">
      <c r="G18">
        <f t="shared" si="0"/>
        <v>0</v>
      </c>
    </row>
    <row r="19" spans="7:7" x14ac:dyDescent="0.35">
      <c r="G19">
        <f t="shared" si="0"/>
        <v>0</v>
      </c>
    </row>
    <row r="20" spans="7:7" x14ac:dyDescent="0.35">
      <c r="G20">
        <f t="shared" si="0"/>
        <v>0</v>
      </c>
    </row>
    <row r="21" spans="7:7" x14ac:dyDescent="0.35">
      <c r="G21">
        <f t="shared" si="0"/>
        <v>0</v>
      </c>
    </row>
    <row r="22" spans="7:7" x14ac:dyDescent="0.35">
      <c r="G22">
        <f t="shared" si="0"/>
        <v>0</v>
      </c>
    </row>
    <row r="23" spans="7:7" x14ac:dyDescent="0.35">
      <c r="G23">
        <f t="shared" si="0"/>
        <v>0</v>
      </c>
    </row>
    <row r="24" spans="7:7" x14ac:dyDescent="0.35">
      <c r="G24">
        <f t="shared" si="0"/>
        <v>0</v>
      </c>
    </row>
    <row r="25" spans="7:7" x14ac:dyDescent="0.35">
      <c r="G25">
        <f t="shared" si="0"/>
        <v>0</v>
      </c>
    </row>
    <row r="26" spans="7:7" x14ac:dyDescent="0.35">
      <c r="G26">
        <f t="shared" si="0"/>
        <v>0</v>
      </c>
    </row>
    <row r="27" spans="7:7" x14ac:dyDescent="0.35">
      <c r="G27">
        <f t="shared" si="0"/>
        <v>0</v>
      </c>
    </row>
    <row r="28" spans="7:7" x14ac:dyDescent="0.35">
      <c r="G28">
        <f t="shared" si="0"/>
        <v>0</v>
      </c>
    </row>
    <row r="29" spans="7:7" x14ac:dyDescent="0.35">
      <c r="G29">
        <f t="shared" si="0"/>
        <v>0</v>
      </c>
    </row>
    <row r="30" spans="7:7" x14ac:dyDescent="0.35">
      <c r="G30">
        <f t="shared" si="0"/>
        <v>0</v>
      </c>
    </row>
    <row r="31" spans="7:7" x14ac:dyDescent="0.35">
      <c r="G31">
        <f t="shared" si="0"/>
        <v>0</v>
      </c>
    </row>
    <row r="32" spans="7:7" x14ac:dyDescent="0.35">
      <c r="G32">
        <f t="shared" si="0"/>
        <v>0</v>
      </c>
    </row>
    <row r="33" spans="7:7" x14ac:dyDescent="0.35">
      <c r="G33">
        <f t="shared" si="0"/>
        <v>0</v>
      </c>
    </row>
    <row r="34" spans="7:7" x14ac:dyDescent="0.35">
      <c r="G34">
        <f t="shared" ref="G34:G65" si="1">SUMPRODUCT((B34:F34="Oui")*20)</f>
        <v>0</v>
      </c>
    </row>
    <row r="35" spans="7:7" x14ac:dyDescent="0.35">
      <c r="G35">
        <f t="shared" si="1"/>
        <v>0</v>
      </c>
    </row>
    <row r="36" spans="7:7" x14ac:dyDescent="0.35">
      <c r="G36">
        <f t="shared" si="1"/>
        <v>0</v>
      </c>
    </row>
    <row r="37" spans="7:7" x14ac:dyDescent="0.35">
      <c r="G37">
        <f t="shared" si="1"/>
        <v>0</v>
      </c>
    </row>
    <row r="38" spans="7:7" x14ac:dyDescent="0.35">
      <c r="G38">
        <f t="shared" si="1"/>
        <v>0</v>
      </c>
    </row>
    <row r="39" spans="7:7" x14ac:dyDescent="0.35">
      <c r="G39">
        <f t="shared" si="1"/>
        <v>0</v>
      </c>
    </row>
    <row r="40" spans="7:7" x14ac:dyDescent="0.35">
      <c r="G40">
        <f t="shared" si="1"/>
        <v>0</v>
      </c>
    </row>
    <row r="41" spans="7:7" x14ac:dyDescent="0.35">
      <c r="G41">
        <f t="shared" si="1"/>
        <v>0</v>
      </c>
    </row>
    <row r="42" spans="7:7" x14ac:dyDescent="0.35">
      <c r="G42">
        <f t="shared" si="1"/>
        <v>0</v>
      </c>
    </row>
    <row r="43" spans="7:7" x14ac:dyDescent="0.35">
      <c r="G43">
        <f t="shared" si="1"/>
        <v>0</v>
      </c>
    </row>
    <row r="44" spans="7:7" x14ac:dyDescent="0.35">
      <c r="G44">
        <f t="shared" si="1"/>
        <v>0</v>
      </c>
    </row>
    <row r="45" spans="7:7" x14ac:dyDescent="0.35">
      <c r="G45">
        <f t="shared" si="1"/>
        <v>0</v>
      </c>
    </row>
    <row r="46" spans="7:7" x14ac:dyDescent="0.35">
      <c r="G46">
        <f t="shared" si="1"/>
        <v>0</v>
      </c>
    </row>
    <row r="47" spans="7:7" x14ac:dyDescent="0.35">
      <c r="G47">
        <f t="shared" si="1"/>
        <v>0</v>
      </c>
    </row>
    <row r="48" spans="7:7" x14ac:dyDescent="0.35">
      <c r="G48">
        <f t="shared" si="1"/>
        <v>0</v>
      </c>
    </row>
    <row r="49" spans="7:7" x14ac:dyDescent="0.35">
      <c r="G49">
        <f t="shared" si="1"/>
        <v>0</v>
      </c>
    </row>
    <row r="50" spans="7:7" x14ac:dyDescent="0.35">
      <c r="G50">
        <f t="shared" si="1"/>
        <v>0</v>
      </c>
    </row>
    <row r="51" spans="7:7" x14ac:dyDescent="0.35">
      <c r="G51">
        <f t="shared" si="1"/>
        <v>0</v>
      </c>
    </row>
    <row r="52" spans="7:7" x14ac:dyDescent="0.35">
      <c r="G52">
        <f t="shared" si="1"/>
        <v>0</v>
      </c>
    </row>
    <row r="53" spans="7:7" x14ac:dyDescent="0.35">
      <c r="G53">
        <f t="shared" si="1"/>
        <v>0</v>
      </c>
    </row>
    <row r="54" spans="7:7" x14ac:dyDescent="0.35">
      <c r="G54">
        <f t="shared" si="1"/>
        <v>0</v>
      </c>
    </row>
    <row r="55" spans="7:7" x14ac:dyDescent="0.35">
      <c r="G55">
        <f t="shared" si="1"/>
        <v>0</v>
      </c>
    </row>
    <row r="56" spans="7:7" x14ac:dyDescent="0.35">
      <c r="G56">
        <f t="shared" si="1"/>
        <v>0</v>
      </c>
    </row>
    <row r="57" spans="7:7" x14ac:dyDescent="0.35">
      <c r="G57">
        <f t="shared" si="1"/>
        <v>0</v>
      </c>
    </row>
    <row r="58" spans="7:7" x14ac:dyDescent="0.35">
      <c r="G58">
        <f t="shared" si="1"/>
        <v>0</v>
      </c>
    </row>
    <row r="59" spans="7:7" x14ac:dyDescent="0.35">
      <c r="G59">
        <f t="shared" si="1"/>
        <v>0</v>
      </c>
    </row>
    <row r="60" spans="7:7" x14ac:dyDescent="0.35">
      <c r="G60">
        <f t="shared" si="1"/>
        <v>0</v>
      </c>
    </row>
    <row r="61" spans="7:7" x14ac:dyDescent="0.35">
      <c r="G61">
        <f t="shared" si="1"/>
        <v>0</v>
      </c>
    </row>
    <row r="62" spans="7:7" x14ac:dyDescent="0.35">
      <c r="G62">
        <f t="shared" si="1"/>
        <v>0</v>
      </c>
    </row>
    <row r="63" spans="7:7" x14ac:dyDescent="0.35">
      <c r="G63">
        <f t="shared" si="1"/>
        <v>0</v>
      </c>
    </row>
    <row r="64" spans="7:7" x14ac:dyDescent="0.35">
      <c r="G64">
        <f t="shared" si="1"/>
        <v>0</v>
      </c>
    </row>
    <row r="65" spans="7:7" x14ac:dyDescent="0.35">
      <c r="G65">
        <f t="shared" si="1"/>
        <v>0</v>
      </c>
    </row>
    <row r="66" spans="7:7" x14ac:dyDescent="0.35">
      <c r="G66">
        <f t="shared" ref="G66:G97" si="2">SUMPRODUCT((B66:F66="Oui")*20)</f>
        <v>0</v>
      </c>
    </row>
    <row r="67" spans="7:7" x14ac:dyDescent="0.35">
      <c r="G67">
        <f t="shared" si="2"/>
        <v>0</v>
      </c>
    </row>
    <row r="68" spans="7:7" x14ac:dyDescent="0.35">
      <c r="G68">
        <f t="shared" si="2"/>
        <v>0</v>
      </c>
    </row>
    <row r="69" spans="7:7" x14ac:dyDescent="0.35">
      <c r="G69">
        <f t="shared" si="2"/>
        <v>0</v>
      </c>
    </row>
    <row r="70" spans="7:7" x14ac:dyDescent="0.35">
      <c r="G70">
        <f t="shared" si="2"/>
        <v>0</v>
      </c>
    </row>
    <row r="71" spans="7:7" x14ac:dyDescent="0.35">
      <c r="G71">
        <f t="shared" si="2"/>
        <v>0</v>
      </c>
    </row>
    <row r="72" spans="7:7" x14ac:dyDescent="0.35">
      <c r="G72">
        <f t="shared" si="2"/>
        <v>0</v>
      </c>
    </row>
    <row r="73" spans="7:7" x14ac:dyDescent="0.35">
      <c r="G73">
        <f t="shared" si="2"/>
        <v>0</v>
      </c>
    </row>
    <row r="74" spans="7:7" x14ac:dyDescent="0.35">
      <c r="G74">
        <f t="shared" si="2"/>
        <v>0</v>
      </c>
    </row>
    <row r="75" spans="7:7" x14ac:dyDescent="0.35">
      <c r="G75">
        <f t="shared" si="2"/>
        <v>0</v>
      </c>
    </row>
    <row r="76" spans="7:7" x14ac:dyDescent="0.35">
      <c r="G76">
        <f t="shared" si="2"/>
        <v>0</v>
      </c>
    </row>
    <row r="77" spans="7:7" x14ac:dyDescent="0.35">
      <c r="G77">
        <f t="shared" si="2"/>
        <v>0</v>
      </c>
    </row>
    <row r="78" spans="7:7" x14ac:dyDescent="0.35">
      <c r="G78">
        <f t="shared" si="2"/>
        <v>0</v>
      </c>
    </row>
    <row r="79" spans="7:7" x14ac:dyDescent="0.35">
      <c r="G79">
        <f t="shared" si="2"/>
        <v>0</v>
      </c>
    </row>
    <row r="80" spans="7:7" x14ac:dyDescent="0.35">
      <c r="G80">
        <f t="shared" si="2"/>
        <v>0</v>
      </c>
    </row>
    <row r="81" spans="7:7" x14ac:dyDescent="0.35">
      <c r="G81">
        <f t="shared" si="2"/>
        <v>0</v>
      </c>
    </row>
    <row r="82" spans="7:7" x14ac:dyDescent="0.35">
      <c r="G82">
        <f t="shared" si="2"/>
        <v>0</v>
      </c>
    </row>
    <row r="83" spans="7:7" x14ac:dyDescent="0.35">
      <c r="G83">
        <f t="shared" si="2"/>
        <v>0</v>
      </c>
    </row>
    <row r="84" spans="7:7" x14ac:dyDescent="0.35">
      <c r="G84">
        <f t="shared" si="2"/>
        <v>0</v>
      </c>
    </row>
    <row r="85" spans="7:7" x14ac:dyDescent="0.35">
      <c r="G85">
        <f t="shared" si="2"/>
        <v>0</v>
      </c>
    </row>
    <row r="86" spans="7:7" x14ac:dyDescent="0.35">
      <c r="G86">
        <f t="shared" si="2"/>
        <v>0</v>
      </c>
    </row>
    <row r="87" spans="7:7" x14ac:dyDescent="0.35">
      <c r="G87">
        <f t="shared" si="2"/>
        <v>0</v>
      </c>
    </row>
    <row r="88" spans="7:7" x14ac:dyDescent="0.35">
      <c r="G88">
        <f t="shared" si="2"/>
        <v>0</v>
      </c>
    </row>
    <row r="89" spans="7:7" x14ac:dyDescent="0.35">
      <c r="G89">
        <f t="shared" si="2"/>
        <v>0</v>
      </c>
    </row>
    <row r="90" spans="7:7" x14ac:dyDescent="0.35">
      <c r="G90">
        <f t="shared" si="2"/>
        <v>0</v>
      </c>
    </row>
    <row r="91" spans="7:7" x14ac:dyDescent="0.35">
      <c r="G91">
        <f t="shared" si="2"/>
        <v>0</v>
      </c>
    </row>
    <row r="92" spans="7:7" x14ac:dyDescent="0.35">
      <c r="G92">
        <f t="shared" si="2"/>
        <v>0</v>
      </c>
    </row>
    <row r="93" spans="7:7" x14ac:dyDescent="0.35">
      <c r="G93">
        <f t="shared" si="2"/>
        <v>0</v>
      </c>
    </row>
    <row r="94" spans="7:7" x14ac:dyDescent="0.35">
      <c r="G94">
        <f t="shared" si="2"/>
        <v>0</v>
      </c>
    </row>
    <row r="95" spans="7:7" x14ac:dyDescent="0.35">
      <c r="G95">
        <f t="shared" si="2"/>
        <v>0</v>
      </c>
    </row>
    <row r="96" spans="7:7" x14ac:dyDescent="0.35">
      <c r="G96">
        <f t="shared" si="2"/>
        <v>0</v>
      </c>
    </row>
    <row r="97" spans="7:7" x14ac:dyDescent="0.35">
      <c r="G97">
        <f t="shared" si="2"/>
        <v>0</v>
      </c>
    </row>
    <row r="98" spans="7:7" x14ac:dyDescent="0.35">
      <c r="G98">
        <f t="shared" ref="G98:G129" si="3">SUMPRODUCT((B98:F98="Oui")*20)</f>
        <v>0</v>
      </c>
    </row>
    <row r="99" spans="7:7" x14ac:dyDescent="0.35">
      <c r="G99">
        <f t="shared" si="3"/>
        <v>0</v>
      </c>
    </row>
    <row r="100" spans="7:7" x14ac:dyDescent="0.35">
      <c r="G100">
        <f t="shared" si="3"/>
        <v>0</v>
      </c>
    </row>
  </sheetData>
  <conditionalFormatting sqref="G2:G100">
    <cfRule type="dataBar" priority="1">
      <dataBar>
        <cfvo type="min"/>
        <cfvo type="max"/>
        <color rgb="FF63C384"/>
      </dataBar>
    </cfRule>
  </conditionalFormatting>
  <dataValidations count="2">
    <dataValidation type="date" allowBlank="1" showInputMessage="1" showErrorMessage="1" sqref="A2:A100" xr:uid="{00000000-0002-0000-0100-000000000000}">
      <formula1>2026-1-1</formula1>
      <formula2>2026-12-31</formula2>
    </dataValidation>
    <dataValidation type="list" allowBlank="1" showInputMessage="1" showErrorMessage="1" sqref="B2:F100" xr:uid="{00000000-0002-0000-0100-000001000000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5">
      <c r="D2" t="str">
        <f t="shared" ref="D2:D33" si="0">IF(C2="Oui","Fait",IF(C2="En cours","En cours","Non"))</f>
        <v>Non</v>
      </c>
      <c r="E2">
        <f t="shared" ref="E2:E33" si="1">IF(C2="Oui",100,0)</f>
        <v>0</v>
      </c>
    </row>
    <row r="3" spans="1:5" x14ac:dyDescent="0.35">
      <c r="D3" t="str">
        <f t="shared" si="0"/>
        <v>Non</v>
      </c>
      <c r="E3">
        <f t="shared" si="1"/>
        <v>0</v>
      </c>
    </row>
    <row r="4" spans="1:5" x14ac:dyDescent="0.35">
      <c r="D4" t="str">
        <f t="shared" si="0"/>
        <v>Non</v>
      </c>
      <c r="E4">
        <f t="shared" si="1"/>
        <v>0</v>
      </c>
    </row>
    <row r="5" spans="1:5" x14ac:dyDescent="0.35">
      <c r="D5" t="str">
        <f t="shared" si="0"/>
        <v>Non</v>
      </c>
      <c r="E5">
        <f t="shared" si="1"/>
        <v>0</v>
      </c>
    </row>
    <row r="6" spans="1:5" x14ac:dyDescent="0.35">
      <c r="D6" t="str">
        <f t="shared" si="0"/>
        <v>Non</v>
      </c>
      <c r="E6">
        <f t="shared" si="1"/>
        <v>0</v>
      </c>
    </row>
    <row r="7" spans="1:5" x14ac:dyDescent="0.35">
      <c r="D7" t="str">
        <f t="shared" si="0"/>
        <v>Non</v>
      </c>
      <c r="E7">
        <f t="shared" si="1"/>
        <v>0</v>
      </c>
    </row>
    <row r="8" spans="1:5" x14ac:dyDescent="0.35">
      <c r="D8" t="str">
        <f t="shared" si="0"/>
        <v>Non</v>
      </c>
      <c r="E8">
        <f t="shared" si="1"/>
        <v>0</v>
      </c>
    </row>
    <row r="9" spans="1:5" x14ac:dyDescent="0.35">
      <c r="D9" t="str">
        <f t="shared" si="0"/>
        <v>Non</v>
      </c>
      <c r="E9">
        <f t="shared" si="1"/>
        <v>0</v>
      </c>
    </row>
    <row r="10" spans="1:5" x14ac:dyDescent="0.35">
      <c r="D10" t="str">
        <f t="shared" si="0"/>
        <v>Non</v>
      </c>
      <c r="E10">
        <f t="shared" si="1"/>
        <v>0</v>
      </c>
    </row>
    <row r="11" spans="1:5" x14ac:dyDescent="0.35">
      <c r="D11" t="str">
        <f t="shared" si="0"/>
        <v>Non</v>
      </c>
      <c r="E11">
        <f t="shared" si="1"/>
        <v>0</v>
      </c>
    </row>
    <row r="12" spans="1:5" x14ac:dyDescent="0.35">
      <c r="D12" t="str">
        <f t="shared" si="0"/>
        <v>Non</v>
      </c>
      <c r="E12">
        <f t="shared" si="1"/>
        <v>0</v>
      </c>
    </row>
    <row r="13" spans="1:5" x14ac:dyDescent="0.35">
      <c r="D13" t="str">
        <f t="shared" si="0"/>
        <v>Non</v>
      </c>
      <c r="E13">
        <f t="shared" si="1"/>
        <v>0</v>
      </c>
    </row>
    <row r="14" spans="1:5" x14ac:dyDescent="0.35">
      <c r="D14" t="str">
        <f t="shared" si="0"/>
        <v>Non</v>
      </c>
      <c r="E14">
        <f t="shared" si="1"/>
        <v>0</v>
      </c>
    </row>
    <row r="15" spans="1:5" x14ac:dyDescent="0.35">
      <c r="D15" t="str">
        <f t="shared" si="0"/>
        <v>Non</v>
      </c>
      <c r="E15">
        <f t="shared" si="1"/>
        <v>0</v>
      </c>
    </row>
    <row r="16" spans="1:5" x14ac:dyDescent="0.35">
      <c r="D16" t="str">
        <f t="shared" si="0"/>
        <v>Non</v>
      </c>
      <c r="E16">
        <f t="shared" si="1"/>
        <v>0</v>
      </c>
    </row>
    <row r="17" spans="4:5" x14ac:dyDescent="0.35">
      <c r="D17" t="str">
        <f t="shared" si="0"/>
        <v>Non</v>
      </c>
      <c r="E17">
        <f t="shared" si="1"/>
        <v>0</v>
      </c>
    </row>
    <row r="18" spans="4:5" x14ac:dyDescent="0.35">
      <c r="D18" t="str">
        <f t="shared" si="0"/>
        <v>Non</v>
      </c>
      <c r="E18">
        <f t="shared" si="1"/>
        <v>0</v>
      </c>
    </row>
    <row r="19" spans="4:5" x14ac:dyDescent="0.35">
      <c r="D19" t="str">
        <f t="shared" si="0"/>
        <v>Non</v>
      </c>
      <c r="E19">
        <f t="shared" si="1"/>
        <v>0</v>
      </c>
    </row>
    <row r="20" spans="4:5" x14ac:dyDescent="0.35">
      <c r="D20" t="str">
        <f t="shared" si="0"/>
        <v>Non</v>
      </c>
      <c r="E20">
        <f t="shared" si="1"/>
        <v>0</v>
      </c>
    </row>
    <row r="21" spans="4:5" x14ac:dyDescent="0.35">
      <c r="D21" t="str">
        <f t="shared" si="0"/>
        <v>Non</v>
      </c>
      <c r="E21">
        <f t="shared" si="1"/>
        <v>0</v>
      </c>
    </row>
    <row r="22" spans="4:5" x14ac:dyDescent="0.35">
      <c r="D22" t="str">
        <f t="shared" si="0"/>
        <v>Non</v>
      </c>
      <c r="E22">
        <f t="shared" si="1"/>
        <v>0</v>
      </c>
    </row>
    <row r="23" spans="4:5" x14ac:dyDescent="0.35">
      <c r="D23" t="str">
        <f t="shared" si="0"/>
        <v>Non</v>
      </c>
      <c r="E23">
        <f t="shared" si="1"/>
        <v>0</v>
      </c>
    </row>
    <row r="24" spans="4:5" x14ac:dyDescent="0.35">
      <c r="D24" t="str">
        <f t="shared" si="0"/>
        <v>Non</v>
      </c>
      <c r="E24">
        <f t="shared" si="1"/>
        <v>0</v>
      </c>
    </row>
    <row r="25" spans="4:5" x14ac:dyDescent="0.35">
      <c r="D25" t="str">
        <f t="shared" si="0"/>
        <v>Non</v>
      </c>
      <c r="E25">
        <f t="shared" si="1"/>
        <v>0</v>
      </c>
    </row>
    <row r="26" spans="4:5" x14ac:dyDescent="0.35">
      <c r="D26" t="str">
        <f t="shared" si="0"/>
        <v>Non</v>
      </c>
      <c r="E26">
        <f t="shared" si="1"/>
        <v>0</v>
      </c>
    </row>
    <row r="27" spans="4:5" x14ac:dyDescent="0.35">
      <c r="D27" t="str">
        <f t="shared" si="0"/>
        <v>Non</v>
      </c>
      <c r="E27">
        <f t="shared" si="1"/>
        <v>0</v>
      </c>
    </row>
    <row r="28" spans="4:5" x14ac:dyDescent="0.35">
      <c r="D28" t="str">
        <f t="shared" si="0"/>
        <v>Non</v>
      </c>
      <c r="E28">
        <f t="shared" si="1"/>
        <v>0</v>
      </c>
    </row>
    <row r="29" spans="4:5" x14ac:dyDescent="0.35">
      <c r="D29" t="str">
        <f t="shared" si="0"/>
        <v>Non</v>
      </c>
      <c r="E29">
        <f t="shared" si="1"/>
        <v>0</v>
      </c>
    </row>
    <row r="30" spans="4:5" x14ac:dyDescent="0.35">
      <c r="D30" t="str">
        <f t="shared" si="0"/>
        <v>Non</v>
      </c>
      <c r="E30">
        <f t="shared" si="1"/>
        <v>0</v>
      </c>
    </row>
    <row r="31" spans="4:5" x14ac:dyDescent="0.35">
      <c r="D31" t="str">
        <f t="shared" si="0"/>
        <v>Non</v>
      </c>
      <c r="E31">
        <f t="shared" si="1"/>
        <v>0</v>
      </c>
    </row>
    <row r="32" spans="4:5" x14ac:dyDescent="0.35">
      <c r="D32" t="str">
        <f t="shared" si="0"/>
        <v>Non</v>
      </c>
      <c r="E32">
        <f t="shared" si="1"/>
        <v>0</v>
      </c>
    </row>
    <row r="33" spans="4:5" x14ac:dyDescent="0.35">
      <c r="D33" t="str">
        <f t="shared" si="0"/>
        <v>Non</v>
      </c>
      <c r="E33">
        <f t="shared" si="1"/>
        <v>0</v>
      </c>
    </row>
    <row r="34" spans="4:5" x14ac:dyDescent="0.35">
      <c r="D34" t="str">
        <f t="shared" ref="D34:D65" si="2">IF(C34="Oui","Fait",IF(C34="En cours","En cours","Non"))</f>
        <v>Non</v>
      </c>
      <c r="E34">
        <f t="shared" ref="E34:E65" si="3">IF(C34="Oui",100,0)</f>
        <v>0</v>
      </c>
    </row>
    <row r="35" spans="4:5" x14ac:dyDescent="0.35">
      <c r="D35" t="str">
        <f t="shared" si="2"/>
        <v>Non</v>
      </c>
      <c r="E35">
        <f t="shared" si="3"/>
        <v>0</v>
      </c>
    </row>
    <row r="36" spans="4:5" x14ac:dyDescent="0.35">
      <c r="D36" t="str">
        <f t="shared" si="2"/>
        <v>Non</v>
      </c>
      <c r="E36">
        <f t="shared" si="3"/>
        <v>0</v>
      </c>
    </row>
    <row r="37" spans="4:5" x14ac:dyDescent="0.35">
      <c r="D37" t="str">
        <f t="shared" si="2"/>
        <v>Non</v>
      </c>
      <c r="E37">
        <f t="shared" si="3"/>
        <v>0</v>
      </c>
    </row>
    <row r="38" spans="4:5" x14ac:dyDescent="0.35">
      <c r="D38" t="str">
        <f t="shared" si="2"/>
        <v>Non</v>
      </c>
      <c r="E38">
        <f t="shared" si="3"/>
        <v>0</v>
      </c>
    </row>
    <row r="39" spans="4:5" x14ac:dyDescent="0.35">
      <c r="D39" t="str">
        <f t="shared" si="2"/>
        <v>Non</v>
      </c>
      <c r="E39">
        <f t="shared" si="3"/>
        <v>0</v>
      </c>
    </row>
    <row r="40" spans="4:5" x14ac:dyDescent="0.35">
      <c r="D40" t="str">
        <f t="shared" si="2"/>
        <v>Non</v>
      </c>
      <c r="E40">
        <f t="shared" si="3"/>
        <v>0</v>
      </c>
    </row>
    <row r="41" spans="4:5" x14ac:dyDescent="0.35">
      <c r="D41" t="str">
        <f t="shared" si="2"/>
        <v>Non</v>
      </c>
      <c r="E41">
        <f t="shared" si="3"/>
        <v>0</v>
      </c>
    </row>
    <row r="42" spans="4:5" x14ac:dyDescent="0.35">
      <c r="D42" t="str">
        <f t="shared" si="2"/>
        <v>Non</v>
      </c>
      <c r="E42">
        <f t="shared" si="3"/>
        <v>0</v>
      </c>
    </row>
    <row r="43" spans="4:5" x14ac:dyDescent="0.35">
      <c r="D43" t="str">
        <f t="shared" si="2"/>
        <v>Non</v>
      </c>
      <c r="E43">
        <f t="shared" si="3"/>
        <v>0</v>
      </c>
    </row>
    <row r="44" spans="4:5" x14ac:dyDescent="0.35">
      <c r="D44" t="str">
        <f t="shared" si="2"/>
        <v>Non</v>
      </c>
      <c r="E44">
        <f t="shared" si="3"/>
        <v>0</v>
      </c>
    </row>
    <row r="45" spans="4:5" x14ac:dyDescent="0.35">
      <c r="D45" t="str">
        <f t="shared" si="2"/>
        <v>Non</v>
      </c>
      <c r="E45">
        <f t="shared" si="3"/>
        <v>0</v>
      </c>
    </row>
    <row r="46" spans="4:5" x14ac:dyDescent="0.35">
      <c r="D46" t="str">
        <f t="shared" si="2"/>
        <v>Non</v>
      </c>
      <c r="E46">
        <f t="shared" si="3"/>
        <v>0</v>
      </c>
    </row>
    <row r="47" spans="4:5" x14ac:dyDescent="0.35">
      <c r="D47" t="str">
        <f t="shared" si="2"/>
        <v>Non</v>
      </c>
      <c r="E47">
        <f t="shared" si="3"/>
        <v>0</v>
      </c>
    </row>
    <row r="48" spans="4:5" x14ac:dyDescent="0.35">
      <c r="D48" t="str">
        <f t="shared" si="2"/>
        <v>Non</v>
      </c>
      <c r="E48">
        <f t="shared" si="3"/>
        <v>0</v>
      </c>
    </row>
    <row r="49" spans="4:5" x14ac:dyDescent="0.35">
      <c r="D49" t="str">
        <f t="shared" si="2"/>
        <v>Non</v>
      </c>
      <c r="E49">
        <f t="shared" si="3"/>
        <v>0</v>
      </c>
    </row>
    <row r="50" spans="4:5" x14ac:dyDescent="0.35">
      <c r="D50" t="str">
        <f t="shared" si="2"/>
        <v>Non</v>
      </c>
      <c r="E50">
        <f t="shared" si="3"/>
        <v>0</v>
      </c>
    </row>
    <row r="51" spans="4:5" x14ac:dyDescent="0.35">
      <c r="D51" t="str">
        <f t="shared" si="2"/>
        <v>Non</v>
      </c>
      <c r="E51">
        <f t="shared" si="3"/>
        <v>0</v>
      </c>
    </row>
    <row r="52" spans="4:5" x14ac:dyDescent="0.35">
      <c r="D52" t="str">
        <f t="shared" si="2"/>
        <v>Non</v>
      </c>
      <c r="E52">
        <f t="shared" si="3"/>
        <v>0</v>
      </c>
    </row>
    <row r="53" spans="4:5" x14ac:dyDescent="0.35">
      <c r="D53" t="str">
        <f t="shared" si="2"/>
        <v>Non</v>
      </c>
      <c r="E53">
        <f t="shared" si="3"/>
        <v>0</v>
      </c>
    </row>
    <row r="54" spans="4:5" x14ac:dyDescent="0.35">
      <c r="D54" t="str">
        <f t="shared" si="2"/>
        <v>Non</v>
      </c>
      <c r="E54">
        <f t="shared" si="3"/>
        <v>0</v>
      </c>
    </row>
    <row r="55" spans="4:5" x14ac:dyDescent="0.35">
      <c r="D55" t="str">
        <f t="shared" si="2"/>
        <v>Non</v>
      </c>
      <c r="E55">
        <f t="shared" si="3"/>
        <v>0</v>
      </c>
    </row>
    <row r="56" spans="4:5" x14ac:dyDescent="0.35">
      <c r="D56" t="str">
        <f t="shared" si="2"/>
        <v>Non</v>
      </c>
      <c r="E56">
        <f t="shared" si="3"/>
        <v>0</v>
      </c>
    </row>
    <row r="57" spans="4:5" x14ac:dyDescent="0.35">
      <c r="D57" t="str">
        <f t="shared" si="2"/>
        <v>Non</v>
      </c>
      <c r="E57">
        <f t="shared" si="3"/>
        <v>0</v>
      </c>
    </row>
    <row r="58" spans="4:5" x14ac:dyDescent="0.35">
      <c r="D58" t="str">
        <f t="shared" si="2"/>
        <v>Non</v>
      </c>
      <c r="E58">
        <f t="shared" si="3"/>
        <v>0</v>
      </c>
    </row>
    <row r="59" spans="4:5" x14ac:dyDescent="0.35">
      <c r="D59" t="str">
        <f t="shared" si="2"/>
        <v>Non</v>
      </c>
      <c r="E59">
        <f t="shared" si="3"/>
        <v>0</v>
      </c>
    </row>
    <row r="60" spans="4:5" x14ac:dyDescent="0.35">
      <c r="D60" t="str">
        <f t="shared" si="2"/>
        <v>Non</v>
      </c>
      <c r="E60">
        <f t="shared" si="3"/>
        <v>0</v>
      </c>
    </row>
    <row r="61" spans="4:5" x14ac:dyDescent="0.35">
      <c r="D61" t="str">
        <f t="shared" si="2"/>
        <v>Non</v>
      </c>
      <c r="E61">
        <f t="shared" si="3"/>
        <v>0</v>
      </c>
    </row>
    <row r="62" spans="4:5" x14ac:dyDescent="0.35">
      <c r="D62" t="str">
        <f t="shared" si="2"/>
        <v>Non</v>
      </c>
      <c r="E62">
        <f t="shared" si="3"/>
        <v>0</v>
      </c>
    </row>
    <row r="63" spans="4:5" x14ac:dyDescent="0.35">
      <c r="D63" t="str">
        <f t="shared" si="2"/>
        <v>Non</v>
      </c>
      <c r="E63">
        <f t="shared" si="3"/>
        <v>0</v>
      </c>
    </row>
    <row r="64" spans="4:5" x14ac:dyDescent="0.35">
      <c r="D64" t="str">
        <f t="shared" si="2"/>
        <v>Non</v>
      </c>
      <c r="E64">
        <f t="shared" si="3"/>
        <v>0</v>
      </c>
    </row>
    <row r="65" spans="4:5" x14ac:dyDescent="0.35">
      <c r="D65" t="str">
        <f t="shared" si="2"/>
        <v>Non</v>
      </c>
      <c r="E65">
        <f t="shared" si="3"/>
        <v>0</v>
      </c>
    </row>
    <row r="66" spans="4:5" x14ac:dyDescent="0.35">
      <c r="D66" t="str">
        <f t="shared" ref="D66:D97" si="4">IF(C66="Oui","Fait",IF(C66="En cours","En cours","Non"))</f>
        <v>Non</v>
      </c>
      <c r="E66">
        <f t="shared" ref="E66:E100" si="5">IF(C66="Oui",100,0)</f>
        <v>0</v>
      </c>
    </row>
    <row r="67" spans="4:5" x14ac:dyDescent="0.35">
      <c r="D67" t="str">
        <f t="shared" si="4"/>
        <v>Non</v>
      </c>
      <c r="E67">
        <f t="shared" si="5"/>
        <v>0</v>
      </c>
    </row>
    <row r="68" spans="4:5" x14ac:dyDescent="0.35">
      <c r="D68" t="str">
        <f t="shared" si="4"/>
        <v>Non</v>
      </c>
      <c r="E68">
        <f t="shared" si="5"/>
        <v>0</v>
      </c>
    </row>
    <row r="69" spans="4:5" x14ac:dyDescent="0.35">
      <c r="D69" t="str">
        <f t="shared" si="4"/>
        <v>Non</v>
      </c>
      <c r="E69">
        <f t="shared" si="5"/>
        <v>0</v>
      </c>
    </row>
    <row r="70" spans="4:5" x14ac:dyDescent="0.35">
      <c r="D70" t="str">
        <f t="shared" si="4"/>
        <v>Non</v>
      </c>
      <c r="E70">
        <f t="shared" si="5"/>
        <v>0</v>
      </c>
    </row>
    <row r="71" spans="4:5" x14ac:dyDescent="0.35">
      <c r="D71" t="str">
        <f t="shared" si="4"/>
        <v>Non</v>
      </c>
      <c r="E71">
        <f t="shared" si="5"/>
        <v>0</v>
      </c>
    </row>
    <row r="72" spans="4:5" x14ac:dyDescent="0.35">
      <c r="D72" t="str">
        <f t="shared" si="4"/>
        <v>Non</v>
      </c>
      <c r="E72">
        <f t="shared" si="5"/>
        <v>0</v>
      </c>
    </row>
    <row r="73" spans="4:5" x14ac:dyDescent="0.35">
      <c r="D73" t="str">
        <f t="shared" si="4"/>
        <v>Non</v>
      </c>
      <c r="E73">
        <f t="shared" si="5"/>
        <v>0</v>
      </c>
    </row>
    <row r="74" spans="4:5" x14ac:dyDescent="0.35">
      <c r="D74" t="str">
        <f t="shared" si="4"/>
        <v>Non</v>
      </c>
      <c r="E74">
        <f t="shared" si="5"/>
        <v>0</v>
      </c>
    </row>
    <row r="75" spans="4:5" x14ac:dyDescent="0.35">
      <c r="D75" t="str">
        <f t="shared" si="4"/>
        <v>Non</v>
      </c>
      <c r="E75">
        <f t="shared" si="5"/>
        <v>0</v>
      </c>
    </row>
    <row r="76" spans="4:5" x14ac:dyDescent="0.35">
      <c r="D76" t="str">
        <f t="shared" si="4"/>
        <v>Non</v>
      </c>
      <c r="E76">
        <f t="shared" si="5"/>
        <v>0</v>
      </c>
    </row>
    <row r="77" spans="4:5" x14ac:dyDescent="0.35">
      <c r="D77" t="str">
        <f t="shared" si="4"/>
        <v>Non</v>
      </c>
      <c r="E77">
        <f t="shared" si="5"/>
        <v>0</v>
      </c>
    </row>
    <row r="78" spans="4:5" x14ac:dyDescent="0.35">
      <c r="D78" t="str">
        <f t="shared" si="4"/>
        <v>Non</v>
      </c>
      <c r="E78">
        <f t="shared" si="5"/>
        <v>0</v>
      </c>
    </row>
    <row r="79" spans="4:5" x14ac:dyDescent="0.35">
      <c r="D79" t="str">
        <f t="shared" si="4"/>
        <v>Non</v>
      </c>
      <c r="E79">
        <f t="shared" si="5"/>
        <v>0</v>
      </c>
    </row>
    <row r="80" spans="4:5" x14ac:dyDescent="0.35">
      <c r="D80" t="str">
        <f t="shared" si="4"/>
        <v>Non</v>
      </c>
      <c r="E80">
        <f t="shared" si="5"/>
        <v>0</v>
      </c>
    </row>
    <row r="81" spans="4:5" x14ac:dyDescent="0.35">
      <c r="D81" t="str">
        <f t="shared" si="4"/>
        <v>Non</v>
      </c>
      <c r="E81">
        <f t="shared" si="5"/>
        <v>0</v>
      </c>
    </row>
    <row r="82" spans="4:5" x14ac:dyDescent="0.35">
      <c r="D82" t="str">
        <f t="shared" si="4"/>
        <v>Non</v>
      </c>
      <c r="E82">
        <f t="shared" si="5"/>
        <v>0</v>
      </c>
    </row>
    <row r="83" spans="4:5" x14ac:dyDescent="0.35">
      <c r="D83" t="str">
        <f t="shared" si="4"/>
        <v>Non</v>
      </c>
      <c r="E83">
        <f t="shared" si="5"/>
        <v>0</v>
      </c>
    </row>
    <row r="84" spans="4:5" x14ac:dyDescent="0.35">
      <c r="D84" t="str">
        <f t="shared" si="4"/>
        <v>Non</v>
      </c>
      <c r="E84">
        <f t="shared" si="5"/>
        <v>0</v>
      </c>
    </row>
    <row r="85" spans="4:5" x14ac:dyDescent="0.35">
      <c r="D85" t="str">
        <f t="shared" si="4"/>
        <v>Non</v>
      </c>
      <c r="E85">
        <f t="shared" si="5"/>
        <v>0</v>
      </c>
    </row>
    <row r="86" spans="4:5" x14ac:dyDescent="0.35">
      <c r="D86" t="str">
        <f t="shared" si="4"/>
        <v>Non</v>
      </c>
      <c r="E86">
        <f t="shared" si="5"/>
        <v>0</v>
      </c>
    </row>
    <row r="87" spans="4:5" x14ac:dyDescent="0.35">
      <c r="D87" t="str">
        <f t="shared" si="4"/>
        <v>Non</v>
      </c>
      <c r="E87">
        <f t="shared" si="5"/>
        <v>0</v>
      </c>
    </row>
    <row r="88" spans="4:5" x14ac:dyDescent="0.35">
      <c r="D88" t="str">
        <f t="shared" si="4"/>
        <v>Non</v>
      </c>
      <c r="E88">
        <f t="shared" si="5"/>
        <v>0</v>
      </c>
    </row>
    <row r="89" spans="4:5" x14ac:dyDescent="0.35">
      <c r="D89" t="str">
        <f t="shared" si="4"/>
        <v>Non</v>
      </c>
      <c r="E89">
        <f t="shared" si="5"/>
        <v>0</v>
      </c>
    </row>
    <row r="90" spans="4:5" x14ac:dyDescent="0.35">
      <c r="D90" t="str">
        <f t="shared" si="4"/>
        <v>Non</v>
      </c>
      <c r="E90">
        <f t="shared" si="5"/>
        <v>0</v>
      </c>
    </row>
    <row r="91" spans="4:5" x14ac:dyDescent="0.35">
      <c r="D91" t="str">
        <f t="shared" si="4"/>
        <v>Non</v>
      </c>
      <c r="E91">
        <f t="shared" si="5"/>
        <v>0</v>
      </c>
    </row>
    <row r="92" spans="4:5" x14ac:dyDescent="0.35">
      <c r="D92" t="str">
        <f t="shared" si="4"/>
        <v>Non</v>
      </c>
      <c r="E92">
        <f t="shared" si="5"/>
        <v>0</v>
      </c>
    </row>
    <row r="93" spans="4:5" x14ac:dyDescent="0.35">
      <c r="D93" t="str">
        <f t="shared" si="4"/>
        <v>Non</v>
      </c>
      <c r="E93">
        <f t="shared" si="5"/>
        <v>0</v>
      </c>
    </row>
    <row r="94" spans="4:5" x14ac:dyDescent="0.35">
      <c r="D94" t="str">
        <f t="shared" si="4"/>
        <v>Non</v>
      </c>
      <c r="E94">
        <f t="shared" si="5"/>
        <v>0</v>
      </c>
    </row>
    <row r="95" spans="4:5" x14ac:dyDescent="0.35">
      <c r="D95" t="str">
        <f t="shared" si="4"/>
        <v>Non</v>
      </c>
      <c r="E95">
        <f t="shared" si="5"/>
        <v>0</v>
      </c>
    </row>
    <row r="96" spans="4:5" x14ac:dyDescent="0.35">
      <c r="D96" t="str">
        <f t="shared" si="4"/>
        <v>Non</v>
      </c>
      <c r="E96">
        <f t="shared" si="5"/>
        <v>0</v>
      </c>
    </row>
    <row r="97" spans="4:5" x14ac:dyDescent="0.35">
      <c r="D97" t="str">
        <f t="shared" si="4"/>
        <v>Non</v>
      </c>
      <c r="E97">
        <f t="shared" si="5"/>
        <v>0</v>
      </c>
    </row>
    <row r="98" spans="4:5" x14ac:dyDescent="0.35">
      <c r="D98" t="str">
        <f t="shared" ref="D98:D129" si="6">IF(C98="Oui","Fait",IF(C98="En cours","En cours","Non"))</f>
        <v>Non</v>
      </c>
      <c r="E98">
        <f t="shared" si="5"/>
        <v>0</v>
      </c>
    </row>
    <row r="99" spans="4:5" x14ac:dyDescent="0.35">
      <c r="D99" t="str">
        <f t="shared" si="6"/>
        <v>Non</v>
      </c>
      <c r="E99">
        <f t="shared" si="5"/>
        <v>0</v>
      </c>
    </row>
    <row r="100" spans="4:5" x14ac:dyDescent="0.35">
      <c r="D100" t="str">
        <f t="shared" si="6"/>
        <v>Non</v>
      </c>
      <c r="E100">
        <f t="shared" si="5"/>
        <v>0</v>
      </c>
    </row>
  </sheetData>
  <conditionalFormatting sqref="D2:D100">
    <cfRule type="cellIs" dxfId="5" priority="1" operator="equal">
      <formula>"Fait"</formula>
    </cfRule>
    <cfRule type="cellIs" dxfId="4" priority="2" operator="equal">
      <formula>"En cours"</formula>
    </cfRule>
    <cfRule type="cellIs" dxfId="3" priority="3" operator="equal">
      <formula>"Non"</formula>
    </cfRule>
  </conditionalFormatting>
  <dataValidations count="2">
    <dataValidation type="date" allowBlank="1" showInputMessage="1" showErrorMessage="1" sqref="A2:A100" xr:uid="{00000000-0002-0000-0200-000000000000}">
      <formula1>2026-1-1</formula1>
      <formula2>2026-12-31</formula2>
    </dataValidation>
    <dataValidation type="list" allowBlank="1" showInputMessage="1" showErrorMessage="1" sqref="C2:C100" xr:uid="{00000000-0002-0000-0200-000001000000}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16</v>
      </c>
    </row>
  </sheetData>
  <dataValidations count="1">
    <dataValidation type="date" allowBlank="1" showInputMessage="1" showErrorMessage="1" sqref="A2:A1000" xr:uid="{00000000-0002-0000-0300-000000000000}">
      <formula1>2026-1-1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tabSelected="1" workbookViewId="0"/>
  </sheetViews>
  <sheetFormatPr baseColWidth="10" defaultColWidth="8.7265625" defaultRowHeight="14.5" x14ac:dyDescent="0.35"/>
  <cols>
    <col min="1" max="1" width="50.7265625" customWidth="1"/>
    <col min="2" max="4" width="15.7265625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5">
      <c r="C2" t="str">
        <f t="shared" ref="C2:C33" si="0">IF(B2="Oui","Fait",IF(B2="En cours","En cours","Non"))</f>
        <v>Non</v>
      </c>
      <c r="D2">
        <f t="shared" ref="D2:D33" si="1">IF(B2="Oui",100,0)</f>
        <v>0</v>
      </c>
    </row>
    <row r="3" spans="1:4" x14ac:dyDescent="0.35">
      <c r="C3" t="str">
        <f t="shared" si="0"/>
        <v>Non</v>
      </c>
      <c r="D3">
        <f t="shared" si="1"/>
        <v>0</v>
      </c>
    </row>
    <row r="4" spans="1:4" x14ac:dyDescent="0.35">
      <c r="C4" t="str">
        <f t="shared" si="0"/>
        <v>Non</v>
      </c>
      <c r="D4">
        <f t="shared" si="1"/>
        <v>0</v>
      </c>
    </row>
    <row r="5" spans="1:4" x14ac:dyDescent="0.35">
      <c r="C5" t="str">
        <f t="shared" si="0"/>
        <v>Non</v>
      </c>
      <c r="D5">
        <f t="shared" si="1"/>
        <v>0</v>
      </c>
    </row>
    <row r="6" spans="1:4" x14ac:dyDescent="0.35">
      <c r="C6" t="str">
        <f t="shared" si="0"/>
        <v>Non</v>
      </c>
      <c r="D6">
        <f t="shared" si="1"/>
        <v>0</v>
      </c>
    </row>
    <row r="7" spans="1:4" x14ac:dyDescent="0.35">
      <c r="C7" t="str">
        <f t="shared" si="0"/>
        <v>Non</v>
      </c>
      <c r="D7">
        <f t="shared" si="1"/>
        <v>0</v>
      </c>
    </row>
    <row r="8" spans="1:4" x14ac:dyDescent="0.35">
      <c r="C8" t="str">
        <f t="shared" si="0"/>
        <v>Non</v>
      </c>
      <c r="D8">
        <f t="shared" si="1"/>
        <v>0</v>
      </c>
    </row>
    <row r="9" spans="1:4" x14ac:dyDescent="0.35">
      <c r="C9" t="str">
        <f t="shared" si="0"/>
        <v>Non</v>
      </c>
      <c r="D9">
        <f t="shared" si="1"/>
        <v>0</v>
      </c>
    </row>
    <row r="10" spans="1:4" x14ac:dyDescent="0.35">
      <c r="C10" t="str">
        <f t="shared" si="0"/>
        <v>Non</v>
      </c>
      <c r="D10">
        <f t="shared" si="1"/>
        <v>0</v>
      </c>
    </row>
    <row r="11" spans="1:4" x14ac:dyDescent="0.35">
      <c r="C11" t="str">
        <f t="shared" si="0"/>
        <v>Non</v>
      </c>
      <c r="D11">
        <f t="shared" si="1"/>
        <v>0</v>
      </c>
    </row>
    <row r="12" spans="1:4" x14ac:dyDescent="0.35">
      <c r="C12" t="str">
        <f t="shared" si="0"/>
        <v>Non</v>
      </c>
      <c r="D12">
        <f t="shared" si="1"/>
        <v>0</v>
      </c>
    </row>
    <row r="13" spans="1:4" x14ac:dyDescent="0.35">
      <c r="C13" t="str">
        <f t="shared" si="0"/>
        <v>Non</v>
      </c>
      <c r="D13">
        <f t="shared" si="1"/>
        <v>0</v>
      </c>
    </row>
    <row r="14" spans="1:4" x14ac:dyDescent="0.35">
      <c r="C14" t="str">
        <f t="shared" si="0"/>
        <v>Non</v>
      </c>
      <c r="D14">
        <f t="shared" si="1"/>
        <v>0</v>
      </c>
    </row>
    <row r="15" spans="1:4" x14ac:dyDescent="0.35">
      <c r="C15" t="str">
        <f t="shared" si="0"/>
        <v>Non</v>
      </c>
      <c r="D15">
        <f t="shared" si="1"/>
        <v>0</v>
      </c>
    </row>
    <row r="16" spans="1:4" x14ac:dyDescent="0.35">
      <c r="C16" t="str">
        <f t="shared" si="0"/>
        <v>Non</v>
      </c>
      <c r="D16">
        <f t="shared" si="1"/>
        <v>0</v>
      </c>
    </row>
    <row r="17" spans="3:4" x14ac:dyDescent="0.35">
      <c r="C17" t="str">
        <f t="shared" si="0"/>
        <v>Non</v>
      </c>
      <c r="D17">
        <f t="shared" si="1"/>
        <v>0</v>
      </c>
    </row>
    <row r="18" spans="3:4" x14ac:dyDescent="0.35">
      <c r="C18" t="str">
        <f t="shared" si="0"/>
        <v>Non</v>
      </c>
      <c r="D18">
        <f t="shared" si="1"/>
        <v>0</v>
      </c>
    </row>
    <row r="19" spans="3:4" x14ac:dyDescent="0.35">
      <c r="C19" t="str">
        <f t="shared" si="0"/>
        <v>Non</v>
      </c>
      <c r="D19">
        <f t="shared" si="1"/>
        <v>0</v>
      </c>
    </row>
    <row r="20" spans="3:4" x14ac:dyDescent="0.35">
      <c r="C20" t="str">
        <f t="shared" si="0"/>
        <v>Non</v>
      </c>
      <c r="D20">
        <f t="shared" si="1"/>
        <v>0</v>
      </c>
    </row>
    <row r="21" spans="3:4" x14ac:dyDescent="0.35">
      <c r="C21" t="str">
        <f t="shared" si="0"/>
        <v>Non</v>
      </c>
      <c r="D21">
        <f t="shared" si="1"/>
        <v>0</v>
      </c>
    </row>
    <row r="22" spans="3:4" x14ac:dyDescent="0.35">
      <c r="C22" t="str">
        <f t="shared" si="0"/>
        <v>Non</v>
      </c>
      <c r="D22">
        <f t="shared" si="1"/>
        <v>0</v>
      </c>
    </row>
    <row r="23" spans="3:4" x14ac:dyDescent="0.35">
      <c r="C23" t="str">
        <f t="shared" si="0"/>
        <v>Non</v>
      </c>
      <c r="D23">
        <f t="shared" si="1"/>
        <v>0</v>
      </c>
    </row>
    <row r="24" spans="3:4" x14ac:dyDescent="0.35">
      <c r="C24" t="str">
        <f t="shared" si="0"/>
        <v>Non</v>
      </c>
      <c r="D24">
        <f t="shared" si="1"/>
        <v>0</v>
      </c>
    </row>
    <row r="25" spans="3:4" x14ac:dyDescent="0.35">
      <c r="C25" t="str">
        <f t="shared" si="0"/>
        <v>Non</v>
      </c>
      <c r="D25">
        <f t="shared" si="1"/>
        <v>0</v>
      </c>
    </row>
    <row r="26" spans="3:4" x14ac:dyDescent="0.35">
      <c r="C26" t="str">
        <f t="shared" si="0"/>
        <v>Non</v>
      </c>
      <c r="D26">
        <f t="shared" si="1"/>
        <v>0</v>
      </c>
    </row>
    <row r="27" spans="3:4" x14ac:dyDescent="0.35">
      <c r="C27" t="str">
        <f t="shared" si="0"/>
        <v>Non</v>
      </c>
      <c r="D27">
        <f t="shared" si="1"/>
        <v>0</v>
      </c>
    </row>
    <row r="28" spans="3:4" x14ac:dyDescent="0.35">
      <c r="C28" t="str">
        <f t="shared" si="0"/>
        <v>Non</v>
      </c>
      <c r="D28">
        <f t="shared" si="1"/>
        <v>0</v>
      </c>
    </row>
    <row r="29" spans="3:4" x14ac:dyDescent="0.35">
      <c r="C29" t="str">
        <f t="shared" si="0"/>
        <v>Non</v>
      </c>
      <c r="D29">
        <f t="shared" si="1"/>
        <v>0</v>
      </c>
    </row>
    <row r="30" spans="3:4" x14ac:dyDescent="0.35">
      <c r="C30" t="str">
        <f t="shared" si="0"/>
        <v>Non</v>
      </c>
      <c r="D30">
        <f t="shared" si="1"/>
        <v>0</v>
      </c>
    </row>
    <row r="31" spans="3:4" x14ac:dyDescent="0.35">
      <c r="C31" t="str">
        <f t="shared" si="0"/>
        <v>Non</v>
      </c>
      <c r="D31">
        <f t="shared" si="1"/>
        <v>0</v>
      </c>
    </row>
    <row r="32" spans="3:4" x14ac:dyDescent="0.35">
      <c r="C32" t="str">
        <f t="shared" si="0"/>
        <v>Non</v>
      </c>
      <c r="D32">
        <f t="shared" si="1"/>
        <v>0</v>
      </c>
    </row>
    <row r="33" spans="3:4" x14ac:dyDescent="0.35">
      <c r="C33" t="str">
        <f t="shared" si="0"/>
        <v>Non</v>
      </c>
      <c r="D33">
        <f t="shared" si="1"/>
        <v>0</v>
      </c>
    </row>
    <row r="34" spans="3:4" x14ac:dyDescent="0.35">
      <c r="C34" t="str">
        <f t="shared" ref="C34:C65" si="2">IF(B34="Oui","Fait",IF(B34="En cours","En cours","Non"))</f>
        <v>Non</v>
      </c>
      <c r="D34">
        <f t="shared" ref="D34:D50" si="3">IF(B34="Oui",100,0)</f>
        <v>0</v>
      </c>
    </row>
    <row r="35" spans="3:4" x14ac:dyDescent="0.35">
      <c r="C35" t="str">
        <f t="shared" si="2"/>
        <v>Non</v>
      </c>
      <c r="D35">
        <f t="shared" si="3"/>
        <v>0</v>
      </c>
    </row>
    <row r="36" spans="3:4" x14ac:dyDescent="0.35">
      <c r="C36" t="str">
        <f t="shared" si="2"/>
        <v>Non</v>
      </c>
      <c r="D36">
        <f t="shared" si="3"/>
        <v>0</v>
      </c>
    </row>
    <row r="37" spans="3:4" x14ac:dyDescent="0.35">
      <c r="C37" t="str">
        <f t="shared" si="2"/>
        <v>Non</v>
      </c>
      <c r="D37">
        <f t="shared" si="3"/>
        <v>0</v>
      </c>
    </row>
    <row r="38" spans="3:4" x14ac:dyDescent="0.35">
      <c r="C38" t="str">
        <f t="shared" si="2"/>
        <v>Non</v>
      </c>
      <c r="D38">
        <f t="shared" si="3"/>
        <v>0</v>
      </c>
    </row>
    <row r="39" spans="3:4" x14ac:dyDescent="0.35">
      <c r="C39" t="str">
        <f t="shared" si="2"/>
        <v>Non</v>
      </c>
      <c r="D39">
        <f t="shared" si="3"/>
        <v>0</v>
      </c>
    </row>
    <row r="40" spans="3:4" x14ac:dyDescent="0.35">
      <c r="C40" t="str">
        <f t="shared" si="2"/>
        <v>Non</v>
      </c>
      <c r="D40">
        <f t="shared" si="3"/>
        <v>0</v>
      </c>
    </row>
    <row r="41" spans="3:4" x14ac:dyDescent="0.35">
      <c r="C41" t="str">
        <f t="shared" si="2"/>
        <v>Non</v>
      </c>
      <c r="D41">
        <f t="shared" si="3"/>
        <v>0</v>
      </c>
    </row>
    <row r="42" spans="3:4" x14ac:dyDescent="0.35">
      <c r="C42" t="str">
        <f t="shared" si="2"/>
        <v>Non</v>
      </c>
      <c r="D42">
        <f t="shared" si="3"/>
        <v>0</v>
      </c>
    </row>
    <row r="43" spans="3:4" x14ac:dyDescent="0.35">
      <c r="C43" t="str">
        <f t="shared" si="2"/>
        <v>Non</v>
      </c>
      <c r="D43">
        <f t="shared" si="3"/>
        <v>0</v>
      </c>
    </row>
    <row r="44" spans="3:4" x14ac:dyDescent="0.35">
      <c r="C44" t="str">
        <f t="shared" si="2"/>
        <v>Non</v>
      </c>
      <c r="D44">
        <f t="shared" si="3"/>
        <v>0</v>
      </c>
    </row>
    <row r="45" spans="3:4" x14ac:dyDescent="0.35">
      <c r="C45" t="str">
        <f t="shared" si="2"/>
        <v>Non</v>
      </c>
      <c r="D45">
        <f t="shared" si="3"/>
        <v>0</v>
      </c>
    </row>
    <row r="46" spans="3:4" x14ac:dyDescent="0.35">
      <c r="C46" t="str">
        <f t="shared" si="2"/>
        <v>Non</v>
      </c>
      <c r="D46">
        <f t="shared" si="3"/>
        <v>0</v>
      </c>
    </row>
    <row r="47" spans="3:4" x14ac:dyDescent="0.35">
      <c r="C47" t="str">
        <f t="shared" si="2"/>
        <v>Non</v>
      </c>
      <c r="D47">
        <f t="shared" si="3"/>
        <v>0</v>
      </c>
    </row>
    <row r="48" spans="3:4" x14ac:dyDescent="0.35">
      <c r="C48" t="str">
        <f t="shared" si="2"/>
        <v>Non</v>
      </c>
      <c r="D48">
        <f t="shared" si="3"/>
        <v>0</v>
      </c>
    </row>
    <row r="49" spans="3:4" x14ac:dyDescent="0.35">
      <c r="C49" t="str">
        <f t="shared" si="2"/>
        <v>Non</v>
      </c>
      <c r="D49">
        <f t="shared" si="3"/>
        <v>0</v>
      </c>
    </row>
    <row r="50" spans="3:4" x14ac:dyDescent="0.35">
      <c r="C50" t="str">
        <f t="shared" si="2"/>
        <v>Non</v>
      </c>
      <c r="D50">
        <f t="shared" si="3"/>
        <v>0</v>
      </c>
    </row>
  </sheetData>
  <conditionalFormatting sqref="C2:C50">
    <cfRule type="cellIs" dxfId="2" priority="1" operator="equal">
      <formula>"Fait"</formula>
    </cfRule>
    <cfRule type="cellIs" dxfId="1" priority="2" operator="equal">
      <formula>"En cours"</formula>
    </cfRule>
    <cfRule type="cellIs" dxfId="0" priority="3" operator="equal">
      <formula>"Non"</formula>
    </cfRule>
  </conditionalFormatting>
  <dataValidations count="1">
    <dataValidation type="list" allowBlank="1" showInputMessage="1" showErrorMessage="1" sqref="B2:B50" xr:uid="{00000000-0002-0000-0400-000000000000}">
      <formula1>"Oui,Non,En cours"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t="s">
        <v>23</v>
      </c>
      <c r="F2" t="e">
        <f t="shared" ref="F2:F13" si="0">AVERAGE(B2:E2)</f>
        <v>#DIV/0!</v>
      </c>
    </row>
    <row r="3" spans="1:6" x14ac:dyDescent="0.35">
      <c r="A3" t="s">
        <v>24</v>
      </c>
      <c r="F3" t="e">
        <f t="shared" si="0"/>
        <v>#DIV/0!</v>
      </c>
    </row>
    <row r="4" spans="1:6" x14ac:dyDescent="0.35">
      <c r="A4" t="s">
        <v>25</v>
      </c>
      <c r="F4" t="e">
        <f t="shared" si="0"/>
        <v>#DIV/0!</v>
      </c>
    </row>
    <row r="5" spans="1:6" x14ac:dyDescent="0.35">
      <c r="A5" t="s">
        <v>26</v>
      </c>
      <c r="F5" t="e">
        <f t="shared" si="0"/>
        <v>#DIV/0!</v>
      </c>
    </row>
    <row r="6" spans="1:6" x14ac:dyDescent="0.35">
      <c r="A6" t="s">
        <v>27</v>
      </c>
      <c r="F6" t="e">
        <f t="shared" si="0"/>
        <v>#DIV/0!</v>
      </c>
    </row>
    <row r="7" spans="1:6" x14ac:dyDescent="0.35">
      <c r="A7" t="s">
        <v>28</v>
      </c>
      <c r="F7" t="e">
        <f t="shared" si="0"/>
        <v>#DIV/0!</v>
      </c>
    </row>
    <row r="8" spans="1:6" x14ac:dyDescent="0.35">
      <c r="A8" t="s">
        <v>29</v>
      </c>
      <c r="F8" t="e">
        <f t="shared" si="0"/>
        <v>#DIV/0!</v>
      </c>
    </row>
    <row r="9" spans="1:6" x14ac:dyDescent="0.35">
      <c r="A9" t="s">
        <v>30</v>
      </c>
      <c r="F9" t="e">
        <f t="shared" si="0"/>
        <v>#DIV/0!</v>
      </c>
    </row>
    <row r="10" spans="1:6" x14ac:dyDescent="0.35">
      <c r="A10" t="s">
        <v>31</v>
      </c>
      <c r="F10" t="e">
        <f t="shared" si="0"/>
        <v>#DIV/0!</v>
      </c>
    </row>
    <row r="11" spans="1:6" x14ac:dyDescent="0.35">
      <c r="A11" t="s">
        <v>32</v>
      </c>
      <c r="F11" t="e">
        <f t="shared" si="0"/>
        <v>#DIV/0!</v>
      </c>
    </row>
    <row r="12" spans="1:6" x14ac:dyDescent="0.35">
      <c r="A12" t="s">
        <v>33</v>
      </c>
      <c r="F12" t="e">
        <f t="shared" si="0"/>
        <v>#DIV/0!</v>
      </c>
    </row>
    <row r="13" spans="1:6" x14ac:dyDescent="0.35">
      <c r="A13" t="s">
        <v>34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Finances</vt:lpstr>
      <vt:lpstr>Routine</vt:lpstr>
      <vt:lpstr>Objectifs</vt:lpstr>
      <vt:lpstr>Journal spirituel</vt:lpstr>
      <vt:lpstr>Objectifs annuels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2025-12-31T09:37:24Z</dcterms:created>
  <dcterms:modified xsi:type="dcterms:W3CDTF">2025-12-31T09:38:10Z</dcterms:modified>
</cp:coreProperties>
</file>