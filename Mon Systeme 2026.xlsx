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ltiisbj-my.sharepoint.com/personal/jemima_nonvignon_celtiis_bj/Documents/Bureau/2026/"/>
    </mc:Choice>
  </mc:AlternateContent>
  <xr:revisionPtr revIDLastSave="5" documentId="11_48C695B89191ABC43F08B82DDF508F498121F428" xr6:coauthVersionLast="47" xr6:coauthVersionMax="47" xr10:uidLastSave="{B6510545-32B0-4D31-A23A-A8C33C272863}"/>
  <bookViews>
    <workbookView xWindow="-110" yWindow="-110" windowWidth="19420" windowHeight="11500" xr2:uid="{00000000-000D-0000-FFFF-FFFF00000000}"/>
  </bookViews>
  <sheets>
    <sheet name="Finances" sheetId="1" r:id="rId1"/>
    <sheet name="Routine" sheetId="2" r:id="rId2"/>
    <sheet name="Objectifs" sheetId="3" r:id="rId3"/>
    <sheet name="Journal spirituel" sheetId="4" r:id="rId4"/>
    <sheet name="Tableau de bo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12" i="5"/>
  <c r="F11" i="5"/>
  <c r="F10" i="5"/>
  <c r="F9" i="5"/>
  <c r="F8" i="5"/>
  <c r="F7" i="5"/>
  <c r="F6" i="5"/>
  <c r="F5" i="5"/>
  <c r="F4" i="5"/>
  <c r="F3" i="5"/>
  <c r="F2" i="5"/>
  <c r="E4" i="3"/>
  <c r="D4" i="3"/>
  <c r="E3" i="3"/>
  <c r="D3" i="3"/>
  <c r="E2" i="3"/>
  <c r="D2" i="3"/>
  <c r="G6" i="2"/>
  <c r="G5" i="2"/>
  <c r="G4" i="2"/>
  <c r="G3" i="2"/>
  <c r="G2" i="2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<sst xmlns="http://schemas.openxmlformats.org/spreadsheetml/2006/main" count="137" uniqueCount="81">
  <si>
    <t>Date</t>
  </si>
  <si>
    <t>Catégorie Recette</t>
  </si>
  <si>
    <t>Montant Recette</t>
  </si>
  <si>
    <t>Note</t>
  </si>
  <si>
    <t>2026-01-01</t>
  </si>
  <si>
    <t>Salaire</t>
  </si>
  <si>
    <t>Salaire Janvier</t>
  </si>
  <si>
    <t>2026-01-05</t>
  </si>
  <si>
    <t>Don</t>
  </si>
  <si>
    <t>Donation de famille</t>
  </si>
  <si>
    <t>2026-01-10</t>
  </si>
  <si>
    <t>Consultation</t>
  </si>
  <si>
    <t>Consultation médicale</t>
  </si>
  <si>
    <t>2026-01-12</t>
  </si>
  <si>
    <t>Autre</t>
  </si>
  <si>
    <t>Petit gain</t>
  </si>
  <si>
    <t>2026-01-15</t>
  </si>
  <si>
    <t>Salaire Février</t>
  </si>
  <si>
    <t>2026-01-18</t>
  </si>
  <si>
    <t>Donation église</t>
  </si>
  <si>
    <t>2026-01-20</t>
  </si>
  <si>
    <t>Consultation santé</t>
  </si>
  <si>
    <t>2026-01-22</t>
  </si>
  <si>
    <t>Vente objet</t>
  </si>
  <si>
    <t>2026-01-25</t>
  </si>
  <si>
    <t>Salaire Mars</t>
  </si>
  <si>
    <t>2026-01-28</t>
  </si>
  <si>
    <t>Donation amie</t>
  </si>
  <si>
    <t>Catégorie Dépense</t>
  </si>
  <si>
    <t>Montant Dépense</t>
  </si>
  <si>
    <t>Solde</t>
  </si>
  <si>
    <t>2026-01-02</t>
  </si>
  <si>
    <t>Nourriture</t>
  </si>
  <si>
    <t>2026-01-04</t>
  </si>
  <si>
    <t>Transport</t>
  </si>
  <si>
    <t>2026-01-06</t>
  </si>
  <si>
    <t>Loyer</t>
  </si>
  <si>
    <t>2026-01-08</t>
  </si>
  <si>
    <t>Santé</t>
  </si>
  <si>
    <t>Beauté</t>
  </si>
  <si>
    <t>Offrande</t>
  </si>
  <si>
    <t>Prière matin</t>
  </si>
  <si>
    <t>Méditation</t>
  </si>
  <si>
    <t>Préparation maison</t>
  </si>
  <si>
    <t>Prière soir</t>
  </si>
  <si>
    <t>Coucher</t>
  </si>
  <si>
    <t>Score</t>
  </si>
  <si>
    <t>Oui</t>
  </si>
  <si>
    <t>Non</t>
  </si>
  <si>
    <t>2026-01-03</t>
  </si>
  <si>
    <t>Objectif</t>
  </si>
  <si>
    <t>Fait</t>
  </si>
  <si>
    <t>Statut</t>
  </si>
  <si>
    <t>Score (%)</t>
  </si>
  <si>
    <t>Méditation 15 min</t>
  </si>
  <si>
    <t>Lecture Bible 30 min</t>
  </si>
  <si>
    <t>En cours</t>
  </si>
  <si>
    <t>Balayer maison</t>
  </si>
  <si>
    <t>Entrée spirituelle</t>
  </si>
  <si>
    <t>Merci Seigneur pour cette journée.</t>
  </si>
  <si>
    <t>Prière pour sagesse.</t>
  </si>
  <si>
    <t>Méditation profonde sur la gratitude.</t>
  </si>
  <si>
    <t>Mois</t>
  </si>
  <si>
    <t>Objectifs (%)</t>
  </si>
  <si>
    <t>Journal (%)</t>
  </si>
  <si>
    <t>Routine (%)</t>
  </si>
  <si>
    <t>Finances (%)</t>
  </si>
  <si>
    <t>Score global (%)</t>
  </si>
  <si>
    <t>Jan</t>
  </si>
  <si>
    <t>Fév</t>
  </si>
  <si>
    <t>Mar</t>
  </si>
  <si>
    <t>Avr</t>
  </si>
  <si>
    <t>Mai</t>
  </si>
  <si>
    <t>Juin</t>
  </si>
  <si>
    <t>Juil</t>
  </si>
  <si>
    <t>Août</t>
  </si>
  <si>
    <t>Sep</t>
  </si>
  <si>
    <t>Oct</t>
  </si>
  <si>
    <t>Nov</t>
  </si>
  <si>
    <t>Déc</t>
  </si>
  <si>
    <t>2026-01-23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</si>
</sst>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Dépenses par catégorie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Dépenses par catégorie</c:v>
          </c:tx>
          <c:cat>
            <c:strRef>
              <c:f>Finances!$B$15:$B$24</c:f>
              <c:strCache>
                <c:ptCount val="10"/>
                <c:pt idx="0">
                  <c:v>Nourriture</c:v>
                </c:pt>
                <c:pt idx="1">
                  <c:v>Transport</c:v>
                </c:pt>
                <c:pt idx="2">
                  <c:v>Loyer</c:v>
                </c:pt>
                <c:pt idx="3">
                  <c:v>Santé</c:v>
                </c:pt>
                <c:pt idx="4">
                  <c:v>Beauté</c:v>
                </c:pt>
                <c:pt idx="5">
                  <c:v>Offrande</c:v>
                </c:pt>
                <c:pt idx="6">
                  <c:v>Nourriture</c:v>
                </c:pt>
                <c:pt idx="7">
                  <c:v>Transport</c:v>
                </c:pt>
                <c:pt idx="8">
                  <c:v>Loyer</c:v>
                </c:pt>
                <c:pt idx="9">
                  <c:v>Santé</c:v>
                </c:pt>
              </c:strCache>
            </c:strRef>
          </c:cat>
          <c:val>
            <c:numRef>
              <c:f>Finances!$C$15:$C$24</c:f>
              <c:numCache>
                <c:formatCode>General</c:formatCode>
                <c:ptCount val="10"/>
                <c:pt idx="0">
                  <c:v>150</c:v>
                </c:pt>
                <c:pt idx="1">
                  <c:v>50</c:v>
                </c:pt>
                <c:pt idx="2">
                  <c:v>600</c:v>
                </c:pt>
                <c:pt idx="3">
                  <c:v>100</c:v>
                </c:pt>
                <c:pt idx="4">
                  <c:v>80</c:v>
                </c:pt>
                <c:pt idx="5">
                  <c:v>50</c:v>
                </c:pt>
                <c:pt idx="6">
                  <c:v>120</c:v>
                </c:pt>
                <c:pt idx="7">
                  <c:v>60</c:v>
                </c:pt>
                <c:pt idx="8">
                  <c:v>600</c:v>
                </c:pt>
                <c:pt idx="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C-43F3-8FA4-7D3A928F9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Évolution du score global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Score global</c:v>
          </c:tx>
          <c:marker>
            <c:symbol val="none"/>
          </c:marker>
          <c:val>
            <c:numRef>
              <c:f>Tableau de bord!$F$2:$F$13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Tableau de bord!$A$2:$A$13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Fév</c:v>
                      </c:pt>
                      <c:pt idx="2">
                        <c:v>Mar</c:v>
                      </c:pt>
                      <c:pt idx="3">
                        <c:v>Avr</c:v>
                      </c:pt>
                      <c:pt idx="4">
                        <c:v>Mai</c:v>
                      </c:pt>
                      <c:pt idx="5">
                        <c:v>Juin</c:v>
                      </c:pt>
                      <c:pt idx="6">
                        <c:v>Juil</c:v>
                      </c:pt>
                      <c:pt idx="7">
                        <c:v>Août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Déc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6DA-4545-957C-C58D76EB1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Score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15.7265625" customWidth="1"/>
    <col min="2" max="2" width="20.7265625" customWidth="1"/>
    <col min="3" max="3" width="12.7265625" customWidth="1"/>
    <col min="4" max="4" width="20.7265625" customWidth="1"/>
    <col min="5" max="6" width="12.7265625" customWidth="1"/>
    <col min="7" max="7" width="3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 t="s">
        <v>4</v>
      </c>
      <c r="B2" t="s">
        <v>11</v>
      </c>
      <c r="C2">
        <v>2000</v>
      </c>
      <c r="D2" t="s">
        <v>6</v>
      </c>
    </row>
    <row r="3" spans="1:5" x14ac:dyDescent="0.35">
      <c r="A3" t="s">
        <v>7</v>
      </c>
      <c r="B3" t="s">
        <v>8</v>
      </c>
      <c r="C3">
        <v>100</v>
      </c>
      <c r="D3" t="s">
        <v>9</v>
      </c>
    </row>
    <row r="4" spans="1:5" x14ac:dyDescent="0.35">
      <c r="A4" t="s">
        <v>10</v>
      </c>
      <c r="B4" t="s">
        <v>11</v>
      </c>
      <c r="C4">
        <v>300</v>
      </c>
      <c r="D4" t="s">
        <v>12</v>
      </c>
    </row>
    <row r="5" spans="1:5" x14ac:dyDescent="0.35">
      <c r="A5" t="s">
        <v>13</v>
      </c>
      <c r="B5" t="s">
        <v>14</v>
      </c>
      <c r="C5">
        <v>50</v>
      </c>
      <c r="D5" t="s">
        <v>15</v>
      </c>
    </row>
    <row r="6" spans="1:5" x14ac:dyDescent="0.35">
      <c r="A6" t="s">
        <v>16</v>
      </c>
      <c r="B6" t="s">
        <v>5</v>
      </c>
      <c r="C6">
        <v>2000</v>
      </c>
      <c r="D6" t="s">
        <v>17</v>
      </c>
    </row>
    <row r="7" spans="1:5" x14ac:dyDescent="0.35">
      <c r="A7" t="s">
        <v>18</v>
      </c>
      <c r="B7" t="s">
        <v>8</v>
      </c>
      <c r="C7">
        <v>200</v>
      </c>
      <c r="D7" t="s">
        <v>19</v>
      </c>
    </row>
    <row r="8" spans="1:5" x14ac:dyDescent="0.35">
      <c r="A8" t="s">
        <v>20</v>
      </c>
      <c r="B8" t="s">
        <v>11</v>
      </c>
      <c r="C8">
        <v>150</v>
      </c>
      <c r="D8" t="s">
        <v>21</v>
      </c>
    </row>
    <row r="9" spans="1:5" x14ac:dyDescent="0.35">
      <c r="A9" t="s">
        <v>22</v>
      </c>
      <c r="B9" t="s">
        <v>14</v>
      </c>
      <c r="C9">
        <v>100</v>
      </c>
      <c r="D9" t="s">
        <v>23</v>
      </c>
    </row>
    <row r="10" spans="1:5" x14ac:dyDescent="0.35">
      <c r="A10" t="s">
        <v>24</v>
      </c>
      <c r="B10" t="s">
        <v>5</v>
      </c>
      <c r="C10">
        <v>2000</v>
      </c>
      <c r="D10" t="s">
        <v>25</v>
      </c>
    </row>
    <row r="11" spans="1:5" x14ac:dyDescent="0.35">
      <c r="A11" t="s">
        <v>26</v>
      </c>
      <c r="B11" t="s">
        <v>8</v>
      </c>
      <c r="C11">
        <v>50</v>
      </c>
      <c r="D11" t="s">
        <v>27</v>
      </c>
    </row>
    <row r="14" spans="1:5" x14ac:dyDescent="0.35">
      <c r="A14" s="1" t="s">
        <v>0</v>
      </c>
      <c r="B14" s="1" t="s">
        <v>28</v>
      </c>
      <c r="C14" s="1" t="s">
        <v>29</v>
      </c>
      <c r="D14" s="1" t="s">
        <v>30</v>
      </c>
      <c r="E14" s="1" t="s">
        <v>3</v>
      </c>
    </row>
    <row r="15" spans="1:5" x14ac:dyDescent="0.35">
      <c r="A15" t="s">
        <v>31</v>
      </c>
      <c r="B15" t="s">
        <v>32</v>
      </c>
      <c r="C15">
        <v>150</v>
      </c>
      <c r="D15">
        <f>SUM(C$2:C$11)-SUM(C$15:C15)</f>
        <v>6800</v>
      </c>
    </row>
    <row r="16" spans="1:5" x14ac:dyDescent="0.35">
      <c r="A16" t="s">
        <v>33</v>
      </c>
      <c r="B16" t="s">
        <v>34</v>
      </c>
      <c r="C16">
        <v>50</v>
      </c>
      <c r="D16">
        <f>SUM(C$2:C$11)-SUM(C$15:C16)</f>
        <v>6750</v>
      </c>
    </row>
    <row r="17" spans="1:4" x14ac:dyDescent="0.35">
      <c r="A17" t="s">
        <v>35</v>
      </c>
      <c r="B17" t="s">
        <v>36</v>
      </c>
      <c r="C17">
        <v>600</v>
      </c>
      <c r="D17">
        <f>SUM(C$2:C$11)-SUM(C$15:C17)</f>
        <v>6150</v>
      </c>
    </row>
    <row r="18" spans="1:4" x14ac:dyDescent="0.35">
      <c r="A18" t="s">
        <v>37</v>
      </c>
      <c r="B18" t="s">
        <v>38</v>
      </c>
      <c r="C18">
        <v>100</v>
      </c>
      <c r="D18">
        <f>SUM(C$2:C$11)-SUM(C$15:C18)</f>
        <v>6050</v>
      </c>
    </row>
    <row r="19" spans="1:4" x14ac:dyDescent="0.35">
      <c r="A19" t="s">
        <v>10</v>
      </c>
      <c r="B19" t="s">
        <v>39</v>
      </c>
      <c r="C19">
        <v>80</v>
      </c>
      <c r="D19">
        <f>SUM(C$2:C$11)-SUM(C$15:C19)</f>
        <v>5970</v>
      </c>
    </row>
    <row r="20" spans="1:4" x14ac:dyDescent="0.35">
      <c r="A20" t="s">
        <v>13</v>
      </c>
      <c r="B20" t="s">
        <v>40</v>
      </c>
      <c r="C20">
        <v>50</v>
      </c>
      <c r="D20">
        <f>SUM(C$2:C$11)-SUM(C$15:C20)</f>
        <v>5920</v>
      </c>
    </row>
    <row r="21" spans="1:4" x14ac:dyDescent="0.35">
      <c r="A21" t="s">
        <v>16</v>
      </c>
      <c r="B21" t="s">
        <v>32</v>
      </c>
      <c r="C21">
        <v>120</v>
      </c>
      <c r="D21">
        <f>SUM(C$2:C$11)-SUM(C$15:C21)</f>
        <v>5800</v>
      </c>
    </row>
    <row r="22" spans="1:4" x14ac:dyDescent="0.35">
      <c r="A22" t="s">
        <v>18</v>
      </c>
      <c r="B22" t="s">
        <v>34</v>
      </c>
      <c r="C22">
        <v>60</v>
      </c>
      <c r="D22">
        <f>SUM(C$2:C$11)-SUM(C$15:C22)</f>
        <v>5740</v>
      </c>
    </row>
    <row r="23" spans="1:4" x14ac:dyDescent="0.35">
      <c r="A23" t="s">
        <v>20</v>
      </c>
      <c r="B23" t="s">
        <v>36</v>
      </c>
      <c r="C23">
        <v>600</v>
      </c>
      <c r="D23">
        <f>SUM(C$2:C$11)-SUM(C$15:C23)</f>
        <v>5140</v>
      </c>
    </row>
    <row r="24" spans="1:4" x14ac:dyDescent="0.35">
      <c r="A24" t="s">
        <v>22</v>
      </c>
      <c r="B24" t="s">
        <v>38</v>
      </c>
      <c r="C24">
        <v>200</v>
      </c>
      <c r="D24">
        <f>SUM(C$2:C$11)-SUM(C$15:C24)</f>
        <v>4940</v>
      </c>
    </row>
    <row r="25" spans="1:4" x14ac:dyDescent="0.35">
      <c r="A25" t="s">
        <v>80</v>
      </c>
    </row>
  </sheetData>
  <phoneticPr fontId="2" type="noConversion"/>
  <conditionalFormatting sqref="D15:D24">
    <cfRule type="cellIs" dxfId="4" priority="1" operator="greaterThanOrEqual">
      <formula>0</formula>
    </cfRule>
    <cfRule type="cellIs" dxfId="3" priority="2" operator="lessThan">
      <formula>0</formula>
    </cfRule>
  </conditionalFormatting>
  <dataValidations count="3">
    <dataValidation type="date" allowBlank="1" showInputMessage="1" showErrorMessage="1" sqref="A2:A11 A15:A25" xr:uid="{00000000-0002-0000-0000-000000000000}">
      <formula1>2026-1-1</formula1>
      <formula2>2026-12-31</formula2>
    </dataValidation>
    <dataValidation type="list" allowBlank="1" showInputMessage="1" showErrorMessage="1" sqref="B2:B11" xr:uid="{00000000-0002-0000-0000-000001000000}">
      <formula1>"Salaire,Don,Consultation,Autre"</formula1>
    </dataValidation>
    <dataValidation type="list" allowBlank="1" showInputMessage="1" showErrorMessage="1" sqref="B15:B24" xr:uid="{00000000-0002-0000-0000-000003000000}">
      <formula1>"Nourriture,Transport,Loyer,Don,Offrande,Habillement,Tresse,Beauté,Prêt,Portable,Santé,Autre"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8.7265625" defaultRowHeight="14.5" x14ac:dyDescent="0.35"/>
  <cols>
    <col min="1" max="1" width="15.7265625" customWidth="1"/>
    <col min="2" max="6" width="18.7265625" customWidth="1"/>
    <col min="7" max="7" width="12.7265625" customWidth="1"/>
  </cols>
  <sheetData>
    <row r="1" spans="1:7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35">
      <c r="A2" t="s">
        <v>4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>
        <f>SUMPRODUCT((B2:F2="Oui")*20)</f>
        <v>100</v>
      </c>
    </row>
    <row r="3" spans="1:7" x14ac:dyDescent="0.35">
      <c r="A3" t="s">
        <v>31</v>
      </c>
      <c r="B3" t="s">
        <v>47</v>
      </c>
      <c r="C3" t="s">
        <v>48</v>
      </c>
      <c r="D3" t="s">
        <v>47</v>
      </c>
      <c r="E3" t="s">
        <v>47</v>
      </c>
      <c r="F3" t="s">
        <v>48</v>
      </c>
      <c r="G3">
        <f>SUMPRODUCT((B3:F3="Oui")*20)</f>
        <v>60</v>
      </c>
    </row>
    <row r="4" spans="1:7" x14ac:dyDescent="0.35">
      <c r="A4" t="s">
        <v>49</v>
      </c>
      <c r="B4" t="s">
        <v>48</v>
      </c>
      <c r="C4" t="s">
        <v>47</v>
      </c>
      <c r="D4" t="s">
        <v>47</v>
      </c>
      <c r="E4" t="s">
        <v>48</v>
      </c>
      <c r="F4" t="s">
        <v>47</v>
      </c>
      <c r="G4">
        <f>SUMPRODUCT((B4:F4="Oui")*20)</f>
        <v>60</v>
      </c>
    </row>
    <row r="5" spans="1:7" x14ac:dyDescent="0.35">
      <c r="A5" t="s">
        <v>33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>
        <f>SUMPRODUCT((B5:F5="Oui")*20)</f>
        <v>100</v>
      </c>
    </row>
    <row r="6" spans="1:7" x14ac:dyDescent="0.35">
      <c r="A6" t="s">
        <v>7</v>
      </c>
      <c r="B6" t="s">
        <v>47</v>
      </c>
      <c r="C6" t="s">
        <v>47</v>
      </c>
      <c r="D6" t="s">
        <v>48</v>
      </c>
      <c r="E6" t="s">
        <v>47</v>
      </c>
      <c r="F6" t="s">
        <v>47</v>
      </c>
      <c r="G6">
        <f>SUMPRODUCT((B6:F6="Oui")*20)</f>
        <v>80</v>
      </c>
    </row>
  </sheetData>
  <conditionalFormatting sqref="G2:G11">
    <cfRule type="dataBar" priority="1">
      <dataBar>
        <cfvo type="min"/>
        <cfvo type="max"/>
        <color rgb="FF63C384"/>
      </dataBar>
    </cfRule>
  </conditionalFormatting>
  <dataValidations count="2">
    <dataValidation type="date" allowBlank="1" showInputMessage="1" showErrorMessage="1" sqref="A2:A11" xr:uid="{00000000-0002-0000-0100-000000000000}">
      <formula1>2026-1-1</formula1>
      <formula2>2026-12-31</formula2>
    </dataValidation>
    <dataValidation type="list" allowBlank="1" showInputMessage="1" showErrorMessage="1" sqref="B2:F11" xr:uid="{00000000-0002-0000-0100-000001000000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40.7265625" customWidth="1"/>
    <col min="3" max="5" width="15.7265625" customWidth="1"/>
  </cols>
  <sheetData>
    <row r="1" spans="1:5" x14ac:dyDescent="0.35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4</v>
      </c>
      <c r="B2" t="s">
        <v>54</v>
      </c>
      <c r="C2" t="s">
        <v>47</v>
      </c>
      <c r="D2" t="str">
        <f>IF(C2="Oui","Fait",IF(C2="En cours","En cours","Non"))</f>
        <v>Fait</v>
      </c>
      <c r="E2">
        <f>IF(C2="Oui",100,0)</f>
        <v>100</v>
      </c>
    </row>
    <row r="3" spans="1:5" x14ac:dyDescent="0.35">
      <c r="A3" t="s">
        <v>31</v>
      </c>
      <c r="B3" t="s">
        <v>55</v>
      </c>
      <c r="C3" t="s">
        <v>56</v>
      </c>
      <c r="D3" t="str">
        <f>IF(C3="Oui","Fait",IF(C3="En cours","En cours","Non"))</f>
        <v>En cours</v>
      </c>
      <c r="E3">
        <f>IF(C3="Oui",100,0)</f>
        <v>0</v>
      </c>
    </row>
    <row r="4" spans="1:5" x14ac:dyDescent="0.35">
      <c r="A4" t="s">
        <v>49</v>
      </c>
      <c r="B4" t="s">
        <v>57</v>
      </c>
      <c r="C4" t="s">
        <v>48</v>
      </c>
      <c r="D4" t="str">
        <f>IF(C4="Oui","Fait",IF(C4="En cours","En cours","Non"))</f>
        <v>Non</v>
      </c>
      <c r="E4">
        <f>IF(C4="Oui",100,0)</f>
        <v>0</v>
      </c>
    </row>
  </sheetData>
  <conditionalFormatting sqref="D2:D11">
    <cfRule type="cellIs" dxfId="2" priority="1" operator="equal">
      <formula>"Fait"</formula>
    </cfRule>
    <cfRule type="cellIs" dxfId="1" priority="2" operator="equal">
      <formula>"En cours"</formula>
    </cfRule>
    <cfRule type="cellIs" dxfId="0" priority="3" operator="equal">
      <formula>"Non"</formula>
    </cfRule>
  </conditionalFormatting>
  <dataValidations count="2">
    <dataValidation type="date" allowBlank="1" showInputMessage="1" showErrorMessage="1" sqref="A2:A11" xr:uid="{00000000-0002-0000-0200-000000000000}">
      <formula1>2026-1-1</formula1>
      <formula2>2026-12-31</formula2>
    </dataValidation>
    <dataValidation type="list" allowBlank="1" showInputMessage="1" showErrorMessage="1" sqref="C2:C11" xr:uid="{00000000-0002-0000-0200-000001000000}">
      <formula1>"Oui,Non,En cours"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7265625" defaultRowHeight="14.5" x14ac:dyDescent="0.35"/>
  <cols>
    <col min="1" max="1" width="15.7265625" customWidth="1"/>
    <col min="2" max="2" width="60.7265625" customWidth="1"/>
  </cols>
  <sheetData>
    <row r="1" spans="1:2" x14ac:dyDescent="0.35">
      <c r="A1" s="1" t="s">
        <v>0</v>
      </c>
      <c r="B1" s="1" t="s">
        <v>58</v>
      </c>
    </row>
    <row r="2" spans="1:2" x14ac:dyDescent="0.35">
      <c r="A2" t="s">
        <v>4</v>
      </c>
      <c r="B2" t="s">
        <v>59</v>
      </c>
    </row>
    <row r="3" spans="1:2" x14ac:dyDescent="0.35">
      <c r="A3" t="s">
        <v>31</v>
      </c>
      <c r="B3" t="s">
        <v>60</v>
      </c>
    </row>
    <row r="4" spans="1:2" x14ac:dyDescent="0.35">
      <c r="A4" t="s">
        <v>49</v>
      </c>
      <c r="B4" t="s">
        <v>61</v>
      </c>
    </row>
  </sheetData>
  <dataValidations count="1">
    <dataValidation type="date" allowBlank="1" showInputMessage="1" showErrorMessage="1" sqref="A2:A11" xr:uid="{00000000-0002-0000-0300-000000000000}">
      <formula1>2026-1-1</formula1>
      <formula2>2026-12-31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8.7265625" defaultRowHeight="14.5" x14ac:dyDescent="0.35"/>
  <cols>
    <col min="1" max="1" width="12.7265625" customWidth="1"/>
    <col min="2" max="6" width="18.7265625" customWidth="1"/>
  </cols>
  <sheetData>
    <row r="1" spans="1:6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5">
      <c r="A2" t="s">
        <v>68</v>
      </c>
      <c r="F2" t="e">
        <f t="shared" ref="F2:F13" si="0">AVERAGE(B2:E2)</f>
        <v>#DIV/0!</v>
      </c>
    </row>
    <row r="3" spans="1:6" x14ac:dyDescent="0.35">
      <c r="A3" t="s">
        <v>69</v>
      </c>
      <c r="F3" t="e">
        <f t="shared" si="0"/>
        <v>#DIV/0!</v>
      </c>
    </row>
    <row r="4" spans="1:6" x14ac:dyDescent="0.35">
      <c r="A4" t="s">
        <v>70</v>
      </c>
      <c r="F4" t="e">
        <f t="shared" si="0"/>
        <v>#DIV/0!</v>
      </c>
    </row>
    <row r="5" spans="1:6" x14ac:dyDescent="0.35">
      <c r="A5" t="s">
        <v>71</v>
      </c>
      <c r="F5" t="e">
        <f t="shared" si="0"/>
        <v>#DIV/0!</v>
      </c>
    </row>
    <row r="6" spans="1:6" x14ac:dyDescent="0.35">
      <c r="A6" t="s">
        <v>72</v>
      </c>
      <c r="F6" t="e">
        <f t="shared" si="0"/>
        <v>#DIV/0!</v>
      </c>
    </row>
    <row r="7" spans="1:6" x14ac:dyDescent="0.35">
      <c r="A7" t="s">
        <v>73</v>
      </c>
      <c r="F7" t="e">
        <f t="shared" si="0"/>
        <v>#DIV/0!</v>
      </c>
    </row>
    <row r="8" spans="1:6" x14ac:dyDescent="0.35">
      <c r="A8" t="s">
        <v>74</v>
      </c>
      <c r="F8" t="e">
        <f t="shared" si="0"/>
        <v>#DIV/0!</v>
      </c>
    </row>
    <row r="9" spans="1:6" x14ac:dyDescent="0.35">
      <c r="A9" t="s">
        <v>75</v>
      </c>
      <c r="F9" t="e">
        <f t="shared" si="0"/>
        <v>#DIV/0!</v>
      </c>
    </row>
    <row r="10" spans="1:6" x14ac:dyDescent="0.35">
      <c r="A10" t="s">
        <v>76</v>
      </c>
      <c r="F10" t="e">
        <f t="shared" si="0"/>
        <v>#DIV/0!</v>
      </c>
    </row>
    <row r="11" spans="1:6" x14ac:dyDescent="0.35">
      <c r="A11" t="s">
        <v>77</v>
      </c>
      <c r="F11" t="e">
        <f t="shared" si="0"/>
        <v>#DIV/0!</v>
      </c>
    </row>
    <row r="12" spans="1:6" x14ac:dyDescent="0.35">
      <c r="A12" t="s">
        <v>78</v>
      </c>
      <c r="F12" t="e">
        <f t="shared" si="0"/>
        <v>#DIV/0!</v>
      </c>
    </row>
    <row r="13" spans="1:6" x14ac:dyDescent="0.35">
      <c r="A13" t="s">
        <v>79</v>
      </c>
      <c r="F13" t="e">
        <f t="shared" si="0"/>
        <v>#DIV/0!</v>
      </c>
    </row>
  </sheetData>
  <conditionalFormatting sqref="F2:F13">
    <cfRule type="dataBar" priority="1">
      <dataBar>
        <cfvo type="min"/>
        <cfvo type="max"/>
        <color rgb="FF4F81BD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Finances</vt:lpstr>
      <vt:lpstr>Routine</vt:lpstr>
      <vt:lpstr>Objectifs</vt:lpstr>
      <vt:lpstr>Journal spirituel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Jemima NONVIGNON  [CELTIIS DMCM]</cp:lastModifiedBy>
  <dcterms:created xsi:type="dcterms:W3CDTF">2025-12-31T09:39:24Z</dcterms:created>
  <dcterms:modified xsi:type="dcterms:W3CDTF">2025-12-31T09:49:45Z</dcterms:modified>
</cp:coreProperties>
</file>