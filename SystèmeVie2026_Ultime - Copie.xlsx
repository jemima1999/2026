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s" sheetId="1" r:id="rId1"/>
    <sheet name="Routine" sheetId="2" r:id="rId2"/>
    <sheet name="Objectifs" sheetId="3" r:id="rId3"/>
    <sheet name="Journal spirituel" sheetId="4" r:id="rId4"/>
    <sheet name="Tableau de bord" sheetId="5" r:id="rId5"/>
  </sheets>
  <calcPr calcId="124519" fullCalcOnLoad="1"/>
</workbook>
</file>

<file path=xl/sharedStrings.xml><?xml version="1.0" encoding="utf-8"?>
<sst xmlns="http://schemas.openxmlformats.org/spreadsheetml/2006/main" count="160" uniqueCount="93">
  <si>
    <t>Date</t>
  </si>
  <si>
    <t>Catégorie Recette</t>
  </si>
  <si>
    <t>Montant Recette</t>
  </si>
  <si>
    <t>Note</t>
  </si>
  <si>
    <t>2026-01-01</t>
  </si>
  <si>
    <t>Salaire</t>
  </si>
  <si>
    <t>Salaire Janvier</t>
  </si>
  <si>
    <t>2026-01-05</t>
  </si>
  <si>
    <t>Don</t>
  </si>
  <si>
    <t>Donation famille</t>
  </si>
  <si>
    <t>2026-01-10</t>
  </si>
  <si>
    <t>Consultation</t>
  </si>
  <si>
    <t>Consultation médicale</t>
  </si>
  <si>
    <t>2026-01-12</t>
  </si>
  <si>
    <t>Autre</t>
  </si>
  <si>
    <t>Petit gain</t>
  </si>
  <si>
    <t>2026-01-15</t>
  </si>
  <si>
    <t>Salaire Février</t>
  </si>
  <si>
    <t>2026-01-18</t>
  </si>
  <si>
    <t>Donation église</t>
  </si>
  <si>
    <t>2026-01-20</t>
  </si>
  <si>
    <t>Consultation santé</t>
  </si>
  <si>
    <t>2026-01-22</t>
  </si>
  <si>
    <t>Vente objet</t>
  </si>
  <si>
    <t>2026-01-25</t>
  </si>
  <si>
    <t>Salaire Mars</t>
  </si>
  <si>
    <t>2026-01-28</t>
  </si>
  <si>
    <t>Donation amie</t>
  </si>
  <si>
    <t>Catégorie Dépense</t>
  </si>
  <si>
    <t>Montant Dépense</t>
  </si>
  <si>
    <t>Solde</t>
  </si>
  <si>
    <t>2026-01-02</t>
  </si>
  <si>
    <t>Nourriture</t>
  </si>
  <si>
    <t>Courses</t>
  </si>
  <si>
    <t>2026-01-04</t>
  </si>
  <si>
    <t>Transport</t>
  </si>
  <si>
    <t>Bus</t>
  </si>
  <si>
    <t>2026-01-06</t>
  </si>
  <si>
    <t>Loyer</t>
  </si>
  <si>
    <t>Appartement</t>
  </si>
  <si>
    <t>2026-01-08</t>
  </si>
  <si>
    <t>Santé</t>
  </si>
  <si>
    <t>Pharmacie</t>
  </si>
  <si>
    <t>Beauté</t>
  </si>
  <si>
    <t>Salon</t>
  </si>
  <si>
    <t>Offrande</t>
  </si>
  <si>
    <t>Église</t>
  </si>
  <si>
    <t>Taxi</t>
  </si>
  <si>
    <t>Catégorie</t>
  </si>
  <si>
    <t>Total</t>
  </si>
  <si>
    <t>Habillement</t>
  </si>
  <si>
    <t>Tresse</t>
  </si>
  <si>
    <t>Prêt</t>
  </si>
  <si>
    <t>Portable</t>
  </si>
  <si>
    <t>Prière matin</t>
  </si>
  <si>
    <t>Méditation</t>
  </si>
  <si>
    <t>Préparation maison</t>
  </si>
  <si>
    <t>Prière soir</t>
  </si>
  <si>
    <t>Coucher</t>
  </si>
  <si>
    <t>Score</t>
  </si>
  <si>
    <t>Oui</t>
  </si>
  <si>
    <t>Non</t>
  </si>
  <si>
    <t>2026-01-03</t>
  </si>
  <si>
    <t>Objectif</t>
  </si>
  <si>
    <t>Fait</t>
  </si>
  <si>
    <t>Statut</t>
  </si>
  <si>
    <t>Score (%)</t>
  </si>
  <si>
    <t>Méditation 15 min</t>
  </si>
  <si>
    <t>Lecture Bible 30 min</t>
  </si>
  <si>
    <t>En cours</t>
  </si>
  <si>
    <t>Balayer maison</t>
  </si>
  <si>
    <t>Entrée spirituelle</t>
  </si>
  <si>
    <t>Merci Seigneur pour cette journée.</t>
  </si>
  <si>
    <t>Prière pour sagesse.</t>
  </si>
  <si>
    <t>Méditation sur gratitude.</t>
  </si>
  <si>
    <t>Mois</t>
  </si>
  <si>
    <t>Objectifs (%)</t>
  </si>
  <si>
    <t>Journal (%)</t>
  </si>
  <si>
    <t>Routine (%)</t>
  </si>
  <si>
    <t>Finances (%)</t>
  </si>
  <si>
    <t>Score global (%)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</si>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</sst>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des dépenses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Répartition des dépenses</c:v>
          </c:tx>
          <c:dLbls>
            <c:showPercent val="1"/>
          </c:dLbls>
          <c:cat>
            <c:strRef>
              <c:f>Finances!$I$2:$I$13</c:f>
              <c:strCache>
                <c:ptCount val="12"/>
                <c:pt idx="0">
                  <c:v>Nourriture</c:v>
                </c:pt>
                <c:pt idx="1">
                  <c:v>Transport</c:v>
                </c:pt>
                <c:pt idx="2">
                  <c:v>Loyer</c:v>
                </c:pt>
                <c:pt idx="3">
                  <c:v>Don</c:v>
                </c:pt>
                <c:pt idx="4">
                  <c:v>Offrande</c:v>
                </c:pt>
                <c:pt idx="5">
                  <c:v>Habillement</c:v>
                </c:pt>
                <c:pt idx="6">
                  <c:v>Tresse</c:v>
                </c:pt>
                <c:pt idx="7">
                  <c:v>Beauté</c:v>
                </c:pt>
                <c:pt idx="8">
                  <c:v>Prêt</c:v>
                </c:pt>
                <c:pt idx="9">
                  <c:v>Portable</c:v>
                </c:pt>
                <c:pt idx="10">
                  <c:v>Santé</c:v>
                </c:pt>
                <c:pt idx="11">
                  <c:v>Autre</c:v>
                </c:pt>
              </c:strCache>
            </c:strRef>
          </c:cat>
          <c:val>
            <c:numRef>
              <c:f>Finances!$J$2:$J$13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Évolution du score global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Score global</c:v>
          </c:tx>
          <c:marker>
            <c:symbol val="none"/>
          </c:marker>
          <c:cat>
            <c:strRef>
              <c:f>Tableau de bord!$A$2:$A$13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Tableau de bord!$F$2:$F$13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 (%)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17</xdr:col>
      <xdr:colOff>0</xdr:colOff>
      <xdr:row>31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4" width="20.7109375" customWidth="1"/>
    <col min="5" max="6" width="12.7109375" customWidth="1"/>
    <col min="7" max="7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I1" s="1" t="s">
        <v>48</v>
      </c>
      <c r="J1" s="1" t="s">
        <v>49</v>
      </c>
    </row>
    <row r="2" spans="1:10">
      <c r="A2" t="s">
        <v>4</v>
      </c>
      <c r="B2" t="s">
        <v>5</v>
      </c>
      <c r="C2">
        <v>2000</v>
      </c>
      <c r="D2" t="s">
        <v>6</v>
      </c>
      <c r="I2" t="s">
        <v>32</v>
      </c>
      <c r="J2">
        <f>SUMIF(B$15:B$34,"Nourriture",C$15:C$34)</f>
        <v>0</v>
      </c>
    </row>
    <row r="3" spans="1:10">
      <c r="A3" t="s">
        <v>7</v>
      </c>
      <c r="B3" t="s">
        <v>8</v>
      </c>
      <c r="C3">
        <v>100</v>
      </c>
      <c r="D3" t="s">
        <v>9</v>
      </c>
      <c r="I3" t="s">
        <v>35</v>
      </c>
      <c r="J3">
        <f>SUMIF(B$15:B$34,"Transport",C$15:C$34)</f>
        <v>0</v>
      </c>
    </row>
    <row r="4" spans="1:10">
      <c r="A4" t="s">
        <v>10</v>
      </c>
      <c r="B4" t="s">
        <v>11</v>
      </c>
      <c r="C4">
        <v>300</v>
      </c>
      <c r="D4" t="s">
        <v>12</v>
      </c>
      <c r="I4" t="s">
        <v>38</v>
      </c>
      <c r="J4">
        <f>SUMIF(B$15:B$34,"Loyer",C$15:C$34)</f>
        <v>0</v>
      </c>
    </row>
    <row r="5" spans="1:10">
      <c r="A5" t="s">
        <v>13</v>
      </c>
      <c r="B5" t="s">
        <v>14</v>
      </c>
      <c r="C5">
        <v>50</v>
      </c>
      <c r="D5" t="s">
        <v>15</v>
      </c>
      <c r="I5" t="s">
        <v>8</v>
      </c>
      <c r="J5">
        <f>SUMIF(B$15:B$34,"Don",C$15:C$34)</f>
        <v>0</v>
      </c>
    </row>
    <row r="6" spans="1:10">
      <c r="A6" t="s">
        <v>16</v>
      </c>
      <c r="B6" t="s">
        <v>5</v>
      </c>
      <c r="C6">
        <v>2000</v>
      </c>
      <c r="D6" t="s">
        <v>17</v>
      </c>
      <c r="I6" t="s">
        <v>45</v>
      </c>
      <c r="J6">
        <f>SUMIF(B$15:B$34,"Offrande",C$15:C$34)</f>
        <v>0</v>
      </c>
    </row>
    <row r="7" spans="1:10">
      <c r="A7" t="s">
        <v>18</v>
      </c>
      <c r="B7" t="s">
        <v>8</v>
      </c>
      <c r="C7">
        <v>200</v>
      </c>
      <c r="D7" t="s">
        <v>19</v>
      </c>
      <c r="I7" t="s">
        <v>50</v>
      </c>
      <c r="J7">
        <f>SUMIF(B$15:B$34,"Habillement",C$15:C$34)</f>
        <v>0</v>
      </c>
    </row>
    <row r="8" spans="1:10">
      <c r="A8" t="s">
        <v>20</v>
      </c>
      <c r="B8" t="s">
        <v>11</v>
      </c>
      <c r="C8">
        <v>150</v>
      </c>
      <c r="D8" t="s">
        <v>21</v>
      </c>
      <c r="I8" t="s">
        <v>51</v>
      </c>
      <c r="J8">
        <f>SUMIF(B$15:B$34,"Tresse",C$15:C$34)</f>
        <v>0</v>
      </c>
    </row>
    <row r="9" spans="1:10">
      <c r="A9" t="s">
        <v>22</v>
      </c>
      <c r="B9" t="s">
        <v>14</v>
      </c>
      <c r="C9">
        <v>100</v>
      </c>
      <c r="D9" t="s">
        <v>23</v>
      </c>
      <c r="I9" t="s">
        <v>43</v>
      </c>
      <c r="J9">
        <f>SUMIF(B$15:B$34,"Beauté",C$15:C$34)</f>
        <v>0</v>
      </c>
    </row>
    <row r="10" spans="1:10">
      <c r="A10" t="s">
        <v>24</v>
      </c>
      <c r="B10" t="s">
        <v>5</v>
      </c>
      <c r="C10">
        <v>2000</v>
      </c>
      <c r="D10" t="s">
        <v>25</v>
      </c>
      <c r="I10" t="s">
        <v>52</v>
      </c>
      <c r="J10">
        <f>SUMIF(B$15:B$34,"Prêt",C$15:C$34)</f>
        <v>0</v>
      </c>
    </row>
    <row r="11" spans="1:10">
      <c r="A11" t="s">
        <v>26</v>
      </c>
      <c r="B11" t="s">
        <v>8</v>
      </c>
      <c r="C11">
        <v>50</v>
      </c>
      <c r="D11" t="s">
        <v>27</v>
      </c>
      <c r="I11" t="s">
        <v>53</v>
      </c>
      <c r="J11">
        <f>SUMIF(B$15:B$34,"Portable",C$15:C$34)</f>
        <v>0</v>
      </c>
    </row>
    <row r="12" spans="1:10">
      <c r="I12" t="s">
        <v>41</v>
      </c>
      <c r="J12">
        <f>SUMIF(B$15:B$34,"Santé",C$15:C$34)</f>
        <v>0</v>
      </c>
    </row>
    <row r="13" spans="1:10">
      <c r="I13" t="s">
        <v>14</v>
      </c>
      <c r="J13">
        <f>SUMIF(B$15:B$34,"Autre",C$15:C$34)</f>
        <v>0</v>
      </c>
    </row>
    <row r="14" spans="1:10">
      <c r="A14" s="1" t="s">
        <v>0</v>
      </c>
      <c r="B14" s="1" t="s">
        <v>28</v>
      </c>
      <c r="C14" s="1" t="s">
        <v>29</v>
      </c>
      <c r="D14" s="1" t="s">
        <v>30</v>
      </c>
      <c r="E14" s="1" t="s">
        <v>3</v>
      </c>
    </row>
    <row r="15" spans="1:10">
      <c r="A15" t="s">
        <v>31</v>
      </c>
      <c r="B15" t="s">
        <v>32</v>
      </c>
      <c r="C15">
        <v>150</v>
      </c>
      <c r="D15">
        <f>SUM(C$2:C$11)-SUM(C$15:C15)</f>
        <v>0</v>
      </c>
    </row>
    <row r="16" spans="1:10">
      <c r="A16" t="s">
        <v>34</v>
      </c>
      <c r="B16" t="s">
        <v>35</v>
      </c>
      <c r="C16">
        <v>50</v>
      </c>
      <c r="D16">
        <f>SUM(C$2:C$11)-SUM(C$15:C16)</f>
        <v>0</v>
      </c>
    </row>
    <row r="17" spans="1:4">
      <c r="A17" t="s">
        <v>37</v>
      </c>
      <c r="B17" t="s">
        <v>38</v>
      </c>
      <c r="C17">
        <v>600</v>
      </c>
      <c r="D17">
        <f>SUM(C$2:C$11)-SUM(C$15:C17)</f>
        <v>0</v>
      </c>
    </row>
    <row r="18" spans="1:4">
      <c r="A18" t="s">
        <v>40</v>
      </c>
      <c r="B18" t="s">
        <v>41</v>
      </c>
      <c r="C18">
        <v>100</v>
      </c>
      <c r="D18">
        <f>SUM(C$2:C$11)-SUM(C$15:C18)</f>
        <v>0</v>
      </c>
    </row>
    <row r="19" spans="1:4">
      <c r="A19" t="s">
        <v>10</v>
      </c>
      <c r="B19" t="s">
        <v>43</v>
      </c>
      <c r="C19">
        <v>80</v>
      </c>
      <c r="D19">
        <f>SUM(C$2:C$11)-SUM(C$15:C19)</f>
        <v>0</v>
      </c>
    </row>
    <row r="20" spans="1:4">
      <c r="A20" t="s">
        <v>13</v>
      </c>
      <c r="B20" t="s">
        <v>45</v>
      </c>
      <c r="C20">
        <v>50</v>
      </c>
      <c r="D20">
        <f>SUM(C$2:C$11)-SUM(C$15:C20)</f>
        <v>0</v>
      </c>
    </row>
    <row r="21" spans="1:4">
      <c r="A21" t="s">
        <v>16</v>
      </c>
      <c r="B21" t="s">
        <v>32</v>
      </c>
      <c r="C21">
        <v>120</v>
      </c>
      <c r="D21">
        <f>SUM(C$2:C$11)-SUM(C$15:C21)</f>
        <v>0</v>
      </c>
    </row>
    <row r="22" spans="1:4">
      <c r="A22" t="s">
        <v>18</v>
      </c>
      <c r="B22" t="s">
        <v>35</v>
      </c>
      <c r="C22">
        <v>60</v>
      </c>
      <c r="D22">
        <f>SUM(C$2:C$11)-SUM(C$15:C22)</f>
        <v>0</v>
      </c>
    </row>
    <row r="23" spans="1:4">
      <c r="A23" t="s">
        <v>20</v>
      </c>
      <c r="B23" t="s">
        <v>38</v>
      </c>
      <c r="C23">
        <v>600</v>
      </c>
      <c r="D23">
        <f>SUM(C$2:C$11)-SUM(C$15:C23)</f>
        <v>0</v>
      </c>
    </row>
    <row r="24" spans="1:4">
      <c r="A24" t="s">
        <v>22</v>
      </c>
      <c r="B24" t="s">
        <v>41</v>
      </c>
      <c r="C24">
        <v>200</v>
      </c>
      <c r="D24">
        <f>SUM(C$2:C$11)-SUM(C$15:C24)</f>
        <v>0</v>
      </c>
    </row>
  </sheetData>
  <conditionalFormatting sqref="D15:D34">
    <cfRule type="cellIs" dxfId="0" priority="1" operator="greaterThanOrEqual">
      <formula>0</formula>
    </cfRule>
    <cfRule type="cellIs" dxfId="1" priority="2" operator="lessThan">
      <formula>0</formula>
    </cfRule>
  </conditionalFormatting>
  <dataValidations count="4">
    <dataValidation type="date" allowBlank="1" showInputMessage="1" showErrorMessage="1" sqref="A2:A11">
      <formula1>2026-01-01</formula1>
      <formula2>2026-12-31</formula2>
    </dataValidation>
    <dataValidation type="list" allowBlank="1" showInputMessage="1" showErrorMessage="1" sqref="B2:B11">
      <formula1>"Salaire,Don,Consultation,Autre"</formula1>
    </dataValidation>
    <dataValidation type="date" allowBlank="1" showInputMessage="1" showErrorMessage="1" sqref="A15:A34">
      <formula1>2026-01-01</formula1>
      <formula2>2026-12-31</formula2>
    </dataValidation>
    <dataValidation type="list" allowBlank="1" showInputMessage="1" showErrorMessage="1" sqref="B15:B34">
      <formula1>"Nourriture,Transport,Loyer,Don,Offrande,Habillement,Tresse,Beauté,Prêt,Portable,Santé,Autre"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5.7109375" customWidth="1"/>
    <col min="2" max="6" width="18.7109375" customWidth="1"/>
    <col min="7" max="7" width="12.7109375" customWidth="1"/>
  </cols>
  <sheetData>
    <row r="1" spans="1:7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>
      <c r="A2" t="s">
        <v>4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>
        <f>SUMPRODUCT((B2:F2="Oui")*20)</f>
        <v>0</v>
      </c>
    </row>
    <row r="3" spans="1:7">
      <c r="A3" t="s">
        <v>31</v>
      </c>
      <c r="B3" t="s">
        <v>60</v>
      </c>
      <c r="C3" t="s">
        <v>61</v>
      </c>
      <c r="D3" t="s">
        <v>60</v>
      </c>
      <c r="E3" t="s">
        <v>60</v>
      </c>
      <c r="F3" t="s">
        <v>61</v>
      </c>
      <c r="G3">
        <f>SUMPRODUCT((B3:F3="Oui")*20)</f>
        <v>0</v>
      </c>
    </row>
    <row r="4" spans="1:7">
      <c r="A4" t="s">
        <v>62</v>
      </c>
      <c r="B4" t="s">
        <v>61</v>
      </c>
      <c r="C4" t="s">
        <v>60</v>
      </c>
      <c r="D4" t="s">
        <v>60</v>
      </c>
      <c r="E4" t="s">
        <v>61</v>
      </c>
      <c r="F4" t="s">
        <v>60</v>
      </c>
      <c r="G4">
        <f>SUMPRODUCT((B4:F4="Oui")*20)</f>
        <v>0</v>
      </c>
    </row>
    <row r="5" spans="1:7">
      <c r="A5" t="s">
        <v>34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>
        <f>SUMPRODUCT((B5:F5="Oui")*20)</f>
        <v>0</v>
      </c>
    </row>
    <row r="6" spans="1:7">
      <c r="A6" t="s">
        <v>7</v>
      </c>
      <c r="B6" t="s">
        <v>60</v>
      </c>
      <c r="C6" t="s">
        <v>60</v>
      </c>
      <c r="D6" t="s">
        <v>61</v>
      </c>
      <c r="E6" t="s">
        <v>60</v>
      </c>
      <c r="F6" t="s">
        <v>60</v>
      </c>
      <c r="G6">
        <f>SUMPRODUCT((B6:F6="Oui")*20)</f>
        <v>0</v>
      </c>
    </row>
  </sheetData>
  <conditionalFormatting sqref="G2:G11">
    <cfRule type="dataBar" priority="1">
      <dataBar>
        <cfvo type="min" val="0"/>
        <cfvo type="max" val="0"/>
        <color rgb="FF63C384"/>
      </dataBar>
    </cfRule>
  </conditionalFormatting>
  <dataValidations count="6">
    <dataValidation type="date" allowBlank="1" showInputMessage="1" showErrorMessage="1" sqref="A2:A11">
      <formula1>2026-01-01</formula1>
      <formula2>2026-12-31</formula2>
    </dataValidation>
    <dataValidation type="list" allowBlank="1" showInputMessage="1" showErrorMessage="1" sqref="B2:B11">
      <formula1>"Oui,Non"</formula1>
    </dataValidation>
    <dataValidation type="list" allowBlank="1" showInputMessage="1" showErrorMessage="1" sqref="C2:C11">
      <formula1>"Oui,Non"</formula1>
    </dataValidation>
    <dataValidation type="list" allowBlank="1" showInputMessage="1" showErrorMessage="1" sqref="D2:D11">
      <formula1>"Oui,Non"</formula1>
    </dataValidation>
    <dataValidation type="list" allowBlank="1" showInputMessage="1" showErrorMessage="1" sqref="E2:E11">
      <formula1>"Oui,Non"</formula1>
    </dataValidation>
    <dataValidation type="list" allowBlank="1" showInputMessage="1" showErrorMessage="1" sqref="F2:F11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5.7109375" customWidth="1"/>
    <col min="2" max="2" width="40.7109375" customWidth="1"/>
    <col min="3" max="5" width="15.7109375" customWidth="1"/>
  </cols>
  <sheetData>
    <row r="1" spans="1: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t="s">
        <v>4</v>
      </c>
      <c r="B2" t="s">
        <v>67</v>
      </c>
      <c r="C2" t="s">
        <v>60</v>
      </c>
      <c r="D2">
        <f>IF(C2="Oui","✅",IF(C2="En cours","⏳","❌"))</f>
        <v>0</v>
      </c>
      <c r="E2">
        <f>IF(C2="Oui",100,IF(C2="En cours",50,0))</f>
        <v>0</v>
      </c>
    </row>
    <row r="3" spans="1:5">
      <c r="A3" t="s">
        <v>31</v>
      </c>
      <c r="B3" t="s">
        <v>68</v>
      </c>
      <c r="C3" t="s">
        <v>69</v>
      </c>
      <c r="D3">
        <f>IF(C3="Oui","✅",IF(C3="En cours","⏳","❌"))</f>
        <v>0</v>
      </c>
      <c r="E3">
        <f>IF(C3="Oui",100,IF(C3="En cours",50,0))</f>
        <v>0</v>
      </c>
    </row>
    <row r="4" spans="1:5">
      <c r="A4" t="s">
        <v>62</v>
      </c>
      <c r="B4" t="s">
        <v>70</v>
      </c>
      <c r="C4" t="s">
        <v>61</v>
      </c>
      <c r="D4">
        <f>IF(C4="Oui","✅",IF(C4="En cours","⏳","❌"))</f>
        <v>0</v>
      </c>
      <c r="E4">
        <f>IF(C4="Oui",100,IF(C4="En cours",50,0))</f>
        <v>0</v>
      </c>
    </row>
  </sheetData>
  <conditionalFormatting sqref="D2:D11">
    <cfRule type="cellIs" dxfId="0" priority="1" operator="containsText">
      <formula>"✅"</formula>
    </cfRule>
    <cfRule type="cellIs" dxfId="2" priority="2" operator="containsText">
      <formula>"⏳"</formula>
    </cfRule>
    <cfRule type="cellIs" dxfId="1" priority="3" operator="containsText">
      <formula>"❌"</formula>
    </cfRule>
  </conditionalFormatting>
  <dataValidations count="2">
    <dataValidation type="date" allowBlank="1" showInputMessage="1" showErrorMessage="1" sqref="A2:A11">
      <formula1>2026-01-01</formula1>
      <formula2>2026-12-31</formula2>
    </dataValidation>
    <dataValidation type="list" allowBlank="1" showInputMessage="1" showErrorMessage="1" sqref="C2:C11">
      <formula1>"Oui,Non,En cours"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5.7109375" customWidth="1"/>
    <col min="2" max="2" width="60.7109375" customWidth="1"/>
  </cols>
  <sheetData>
    <row r="1" spans="1:2">
      <c r="A1" s="1" t="s">
        <v>0</v>
      </c>
      <c r="B1" s="1" t="s">
        <v>71</v>
      </c>
    </row>
    <row r="2" spans="1:2">
      <c r="A2" t="s">
        <v>4</v>
      </c>
      <c r="B2" t="s">
        <v>72</v>
      </c>
    </row>
    <row r="3" spans="1:2">
      <c r="A3" t="s">
        <v>31</v>
      </c>
      <c r="B3" t="s">
        <v>73</v>
      </c>
    </row>
    <row r="4" spans="1:2">
      <c r="A4" t="s">
        <v>62</v>
      </c>
      <c r="B4" t="s">
        <v>74</v>
      </c>
    </row>
  </sheetData>
  <dataValidations count="1">
    <dataValidation type="date" allowBlank="1" showInputMessage="1" showErrorMessage="1" sqref="A2:A11">
      <formula1>2026-01-01</formula1>
      <formula2>2026-12-31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2.7109375" customWidth="1"/>
    <col min="2" max="6" width="18.7109375" customWidth="1"/>
  </cols>
  <sheetData>
    <row r="1" spans="1:6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>
      <c r="A2" t="s">
        <v>81</v>
      </c>
      <c r="B2">
        <f>IFERROR(AVERAGEIFS(Objectifs!E:E,Objectifs!A:A,"&gt;=2026-02-01",Objectifs!A:A,"&lt;2026-03-01"),0)</f>
        <v>0</v>
      </c>
      <c r="C2">
        <f>IFERROR(COUNTIFS('Journal spirituel'!A:A,"&gt;=2026-02-01",'Journal spirituel'!A:A,"&lt;2026-03-01",'Journal spirituel'!B:B,"&lt;&gt;") / COUNTIFS('Journal spirituel'!A:A,"&gt;=2026-02-01",'Journal spirituel'!A:A,"&lt;2026-03-01")*100,0)</f>
        <v>0</v>
      </c>
      <c r="D2">
        <f>IFERROR(AVERAGEIFS(Routine!G:G,Routine!A:A,"&gt;=2026-02-01",Routine!A:A,"&lt;2026-03-01"),0)</f>
        <v>0</v>
      </c>
      <c r="E2">
        <f>IFERROR(IF(MAX(Finances!D:D)&gt;=0,100,0),0)</f>
        <v>0</v>
      </c>
      <c r="F2">
        <f>AVERAGE(B2:E2)</f>
        <v>0</v>
      </c>
    </row>
    <row r="3" spans="1:6">
      <c r="A3" t="s">
        <v>82</v>
      </c>
      <c r="B3">
        <f>IFERROR(AVERAGEIFS(Objectifs!E:E,Objectifs!A:A,"&gt;=2026-03-01",Objectifs!A:A,"&lt;2026-04-01"),0)</f>
        <v>0</v>
      </c>
      <c r="C3">
        <f>IFERROR(COUNTIFS('Journal spirituel'!A:A,"&gt;=2026-03-01",'Journal spirituel'!A:A,"&lt;2026-04-01",'Journal spirituel'!B:B,"&lt;&gt;") / COUNTIFS('Journal spirituel'!A:A,"&gt;=2026-03-01",'Journal spirituel'!A:A,"&lt;2026-04-01")*100,0)</f>
        <v>0</v>
      </c>
      <c r="D3">
        <f>IFERROR(AVERAGEIFS(Routine!G:G,Routine!A:A,"&gt;=2026-03-01",Routine!A:A,"&lt;2026-04-01"),0)</f>
        <v>0</v>
      </c>
      <c r="E3">
        <f>IFERROR(IF(MAX(Finances!D:D)&gt;=0,100,0),0)</f>
        <v>0</v>
      </c>
      <c r="F3">
        <f>AVERAGE(B3:E3)</f>
        <v>0</v>
      </c>
    </row>
    <row r="4" spans="1:6">
      <c r="A4" t="s">
        <v>83</v>
      </c>
      <c r="B4">
        <f>IFERROR(AVERAGEIFS(Objectifs!E:E,Objectifs!A:A,"&gt;=2026-04-01",Objectifs!A:A,"&lt;2026-05-01"),0)</f>
        <v>0</v>
      </c>
      <c r="C4">
        <f>IFERROR(COUNTIFS('Journal spirituel'!A:A,"&gt;=2026-04-01",'Journal spirituel'!A:A,"&lt;2026-05-01",'Journal spirituel'!B:B,"&lt;&gt;") / COUNTIFS('Journal spirituel'!A:A,"&gt;=2026-04-01",'Journal spirituel'!A:A,"&lt;2026-05-01")*100,0)</f>
        <v>0</v>
      </c>
      <c r="D4">
        <f>IFERROR(AVERAGEIFS(Routine!G:G,Routine!A:A,"&gt;=2026-04-01",Routine!A:A,"&lt;2026-05-01"),0)</f>
        <v>0</v>
      </c>
      <c r="E4">
        <f>IFERROR(IF(MAX(Finances!D:D)&gt;=0,100,0),0)</f>
        <v>0</v>
      </c>
      <c r="F4">
        <f>AVERAGE(B4:E4)</f>
        <v>0</v>
      </c>
    </row>
    <row r="5" spans="1:6">
      <c r="A5" t="s">
        <v>84</v>
      </c>
      <c r="B5">
        <f>IFERROR(AVERAGEIFS(Objectifs!E:E,Objectifs!A:A,"&gt;=2026-05-01",Objectifs!A:A,"&lt;2026-06-01"),0)</f>
        <v>0</v>
      </c>
      <c r="C5">
        <f>IFERROR(COUNTIFS('Journal spirituel'!A:A,"&gt;=2026-05-01",'Journal spirituel'!A:A,"&lt;2026-06-01",'Journal spirituel'!B:B,"&lt;&gt;") / COUNTIFS('Journal spirituel'!A:A,"&gt;=2026-05-01",'Journal spirituel'!A:A,"&lt;2026-06-01")*100,0)</f>
        <v>0</v>
      </c>
      <c r="D5">
        <f>IFERROR(AVERAGEIFS(Routine!G:G,Routine!A:A,"&gt;=2026-05-01",Routine!A:A,"&lt;2026-06-01"),0)</f>
        <v>0</v>
      </c>
      <c r="E5">
        <f>IFERROR(IF(MAX(Finances!D:D)&gt;=0,100,0),0)</f>
        <v>0</v>
      </c>
      <c r="F5">
        <f>AVERAGE(B5:E5)</f>
        <v>0</v>
      </c>
    </row>
    <row r="6" spans="1:6">
      <c r="A6" t="s">
        <v>85</v>
      </c>
      <c r="B6">
        <f>IFERROR(AVERAGEIFS(Objectifs!E:E,Objectifs!A:A,"&gt;=2026-06-01",Objectifs!A:A,"&lt;2026-07-01"),0)</f>
        <v>0</v>
      </c>
      <c r="C6">
        <f>IFERROR(COUNTIFS('Journal spirituel'!A:A,"&gt;=2026-06-01",'Journal spirituel'!A:A,"&lt;2026-07-01",'Journal spirituel'!B:B,"&lt;&gt;") / COUNTIFS('Journal spirituel'!A:A,"&gt;=2026-06-01",'Journal spirituel'!A:A,"&lt;2026-07-01")*100,0)</f>
        <v>0</v>
      </c>
      <c r="D6">
        <f>IFERROR(AVERAGEIFS(Routine!G:G,Routine!A:A,"&gt;=2026-06-01",Routine!A:A,"&lt;2026-07-01"),0)</f>
        <v>0</v>
      </c>
      <c r="E6">
        <f>IFERROR(IF(MAX(Finances!D:D)&gt;=0,100,0),0)</f>
        <v>0</v>
      </c>
      <c r="F6">
        <f>AVERAGE(B6:E6)</f>
        <v>0</v>
      </c>
    </row>
    <row r="7" spans="1:6">
      <c r="A7" t="s">
        <v>86</v>
      </c>
      <c r="B7">
        <f>IFERROR(AVERAGEIFS(Objectifs!E:E,Objectifs!A:A,"&gt;=2026-07-01",Objectifs!A:A,"&lt;2026-08-01"),0)</f>
        <v>0</v>
      </c>
      <c r="C7">
        <f>IFERROR(COUNTIFS('Journal spirituel'!A:A,"&gt;=2026-07-01",'Journal spirituel'!A:A,"&lt;2026-08-01",'Journal spirituel'!B:B,"&lt;&gt;") / COUNTIFS('Journal spirituel'!A:A,"&gt;=2026-07-01",'Journal spirituel'!A:A,"&lt;2026-08-01")*100,0)</f>
        <v>0</v>
      </c>
      <c r="D7">
        <f>IFERROR(AVERAGEIFS(Routine!G:G,Routine!A:A,"&gt;=2026-07-01",Routine!A:A,"&lt;2026-08-01"),0)</f>
        <v>0</v>
      </c>
      <c r="E7">
        <f>IFERROR(IF(MAX(Finances!D:D)&gt;=0,100,0),0)</f>
        <v>0</v>
      </c>
      <c r="F7">
        <f>AVERAGE(B7:E7)</f>
        <v>0</v>
      </c>
    </row>
    <row r="8" spans="1:6">
      <c r="A8" t="s">
        <v>87</v>
      </c>
      <c r="B8">
        <f>IFERROR(AVERAGEIFS(Objectifs!E:E,Objectifs!A:A,"&gt;=2026-08-01",Objectifs!A:A,"&lt;2026-09-01"),0)</f>
        <v>0</v>
      </c>
      <c r="C8">
        <f>IFERROR(COUNTIFS('Journal spirituel'!A:A,"&gt;=2026-08-01",'Journal spirituel'!A:A,"&lt;2026-09-01",'Journal spirituel'!B:B,"&lt;&gt;") / COUNTIFS('Journal spirituel'!A:A,"&gt;=2026-08-01",'Journal spirituel'!A:A,"&lt;2026-09-01")*100,0)</f>
        <v>0</v>
      </c>
      <c r="D8">
        <f>IFERROR(AVERAGEIFS(Routine!G:G,Routine!A:A,"&gt;=2026-08-01",Routine!A:A,"&lt;2026-09-01"),0)</f>
        <v>0</v>
      </c>
      <c r="E8">
        <f>IFERROR(IF(MAX(Finances!D:D)&gt;=0,100,0),0)</f>
        <v>0</v>
      </c>
      <c r="F8">
        <f>AVERAGE(B8:E8)</f>
        <v>0</v>
      </c>
    </row>
    <row r="9" spans="1:6">
      <c r="A9" t="s">
        <v>88</v>
      </c>
      <c r="B9">
        <f>IFERROR(AVERAGEIFS(Objectifs!E:E,Objectifs!A:A,"&gt;=2026-09-01",Objectifs!A:A,"&lt;2026-10-01"),0)</f>
        <v>0</v>
      </c>
      <c r="C9">
        <f>IFERROR(COUNTIFS('Journal spirituel'!A:A,"&gt;=2026-09-01",'Journal spirituel'!A:A,"&lt;2026-10-01",'Journal spirituel'!B:B,"&lt;&gt;") / COUNTIFS('Journal spirituel'!A:A,"&gt;=2026-09-01",'Journal spirituel'!A:A,"&lt;2026-10-01")*100,0)</f>
        <v>0</v>
      </c>
      <c r="D9">
        <f>IFERROR(AVERAGEIFS(Routine!G:G,Routine!A:A,"&gt;=2026-09-01",Routine!A:A,"&lt;2026-10-01"),0)</f>
        <v>0</v>
      </c>
      <c r="E9">
        <f>IFERROR(IF(MAX(Finances!D:D)&gt;=0,100,0),0)</f>
        <v>0</v>
      </c>
      <c r="F9">
        <f>AVERAGE(B9:E9)</f>
        <v>0</v>
      </c>
    </row>
    <row r="10" spans="1:6">
      <c r="A10" t="s">
        <v>89</v>
      </c>
      <c r="B10">
        <f>IFERROR(AVERAGEIFS(Objectifs!E:E,Objectifs!A:A,"&gt;=2026-10-01",Objectifs!A:A,"&lt;2026-11-01"),0)</f>
        <v>0</v>
      </c>
      <c r="C10">
        <f>IFERROR(COUNTIFS('Journal spirituel'!A:A,"&gt;=2026-10-01",'Journal spirituel'!A:A,"&lt;2026-11-01",'Journal spirituel'!B:B,"&lt;&gt;") / COUNTIFS('Journal spirituel'!A:A,"&gt;=2026-10-01",'Journal spirituel'!A:A,"&lt;2026-11-01")*100,0)</f>
        <v>0</v>
      </c>
      <c r="D10">
        <f>IFERROR(AVERAGEIFS(Routine!G:G,Routine!A:A,"&gt;=2026-10-01",Routine!A:A,"&lt;2026-11-01"),0)</f>
        <v>0</v>
      </c>
      <c r="E10">
        <f>IFERROR(IF(MAX(Finances!D:D)&gt;=0,100,0),0)</f>
        <v>0</v>
      </c>
      <c r="F10">
        <f>AVERAGE(B10:E10)</f>
        <v>0</v>
      </c>
    </row>
    <row r="11" spans="1:6">
      <c r="A11" t="s">
        <v>90</v>
      </c>
      <c r="B11">
        <f>IFERROR(AVERAGEIFS(Objectifs!E:E,Objectifs!A:A,"&gt;=2026-11-01",Objectifs!A:A,"&lt;2026-12-01"),0)</f>
        <v>0</v>
      </c>
      <c r="C11">
        <f>IFERROR(COUNTIFS('Journal spirituel'!A:A,"&gt;=2026-11-01",'Journal spirituel'!A:A,"&lt;2026-12-01",'Journal spirituel'!B:B,"&lt;&gt;") / COUNTIFS('Journal spirituel'!A:A,"&gt;=2026-11-01",'Journal spirituel'!A:A,"&lt;2026-12-01")*100,0)</f>
        <v>0</v>
      </c>
      <c r="D11">
        <f>IFERROR(AVERAGEIFS(Routine!G:G,Routine!A:A,"&gt;=2026-11-01",Routine!A:A,"&lt;2026-12-01"),0)</f>
        <v>0</v>
      </c>
      <c r="E11">
        <f>IFERROR(IF(MAX(Finances!D:D)&gt;=0,100,0),0)</f>
        <v>0</v>
      </c>
      <c r="F11">
        <f>AVERAGE(B11:E11)</f>
        <v>0</v>
      </c>
    </row>
    <row r="12" spans="1:6">
      <c r="A12" t="s">
        <v>91</v>
      </c>
      <c r="B12">
        <f>IFERROR(AVERAGEIFS(Objectifs!E:E,Objectifs!A:A,"&gt;=2026-12-01",Objectifs!A:A,"&lt;2026-13-01"),0)</f>
        <v>0</v>
      </c>
      <c r="C12">
        <f>IFERROR(COUNTIFS('Journal spirituel'!A:A,"&gt;=2026-12-01",'Journal spirituel'!A:A,"&lt;2026-13-01",'Journal spirituel'!B:B,"&lt;&gt;") / COUNTIFS('Journal spirituel'!A:A,"&gt;=2026-12-01",'Journal spirituel'!A:A,"&lt;2026-13-01")*100,0)</f>
        <v>0</v>
      </c>
      <c r="D12">
        <f>IFERROR(AVERAGEIFS(Routine!G:G,Routine!A:A,"&gt;=2026-12-01",Routine!A:A,"&lt;2026-13-01"),0)</f>
        <v>0</v>
      </c>
      <c r="E12">
        <f>IFERROR(IF(MAX(Finances!D:D)&gt;=0,100,0),0)</f>
        <v>0</v>
      </c>
      <c r="F12">
        <f>AVERAGE(B12:E12)</f>
        <v>0</v>
      </c>
    </row>
    <row r="13" spans="1:6">
      <c r="A13" t="s">
        <v>92</v>
      </c>
      <c r="B13">
        <f>IFERROR(AVERAGEIFS(Objectifs!E:E,Objectifs!A:A,"&gt;=2026-13-01",Objectifs!A:A,"&lt;2026-14-01"),0)</f>
        <v>0</v>
      </c>
      <c r="C13">
        <f>IFERROR(COUNTIFS('Journal spirituel'!A:A,"&gt;=2026-13-01",'Journal spirituel'!A:A,"&lt;2026-14-01",'Journal spirituel'!B:B,"&lt;&gt;") / COUNTIFS('Journal spirituel'!A:A,"&gt;=2026-13-01",'Journal spirituel'!A:A,"&lt;2026-14-01")*100,0)</f>
        <v>0</v>
      </c>
      <c r="D13">
        <f>IFERROR(AVERAGEIFS(Routine!G:G,Routine!A:A,"&gt;=2026-13-01",Routine!A:A,"&lt;2026-14-01"),0)</f>
        <v>0</v>
      </c>
      <c r="E13">
        <f>IFERROR(IF(MAX(Finances!D:D)&gt;=0,100,0),0)</f>
        <v>0</v>
      </c>
      <c r="F13">
        <f>AVERAGE(B13:E13)</f>
        <v>0</v>
      </c>
    </row>
  </sheetData>
  <conditionalFormatting sqref="F2:F13">
    <cfRule type="dataBar" priority="1">
      <dataBar>
        <cfvo type="min" val="0"/>
        <cfvo type="max" val="0"/>
        <color rgb="FF4F81BD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Finances</vt:lpstr>
      <vt:lpstr>Routine</vt:lpstr>
      <vt:lpstr>Objectifs</vt:lpstr>
      <vt:lpstr>Journal spirituel</vt:lpstr>
      <vt:lpstr>Tableau de bord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2025-12-31T10:06:40Z</dcterms:created>
  <dcterms:modified xsi:type="dcterms:W3CDTF">2025-12-31T10:06:40Z</dcterms:modified>
</cp:coreProperties>
</file>